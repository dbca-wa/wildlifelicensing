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dpaw.sharepoint.com/teams/SpeciesandCommunities/WA Streamline/s40 Fauna/Templates &amp; Forms/"/>
    </mc:Choice>
  </mc:AlternateContent>
  <xr:revisionPtr revIDLastSave="196" documentId="13_ncr:1_{2ABE641D-E5B9-438B-91C2-3324652A5044}" xr6:coauthVersionLast="47" xr6:coauthVersionMax="47" xr10:uidLastSave="{85BD1621-A502-4D79-918F-B6D2A0B61EC7}"/>
  <bookViews>
    <workbookView xWindow="-120" yWindow="-120" windowWidth="29040" windowHeight="15840" activeTab="2" xr2:uid="{1205F787-2536-4BC5-929E-4ED42C799933}"/>
  </bookViews>
  <sheets>
    <sheet name="Instructions" sheetId="1" r:id="rId1"/>
    <sheet name="Metadata_Survey Effort" sheetId="3" r:id="rId2"/>
    <sheet name="Data Return" sheetId="4" r:id="rId3"/>
    <sheet name="Data Return - Relocation (ONLY)" sheetId="6" r:id="rId4"/>
    <sheet name="Look-up Values" sheetId="2" r:id="rId5"/>
    <sheet name="Specie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6" l="1"/>
  <c r="M2" i="4"/>
  <c r="N2" i="4" l="1"/>
  <c r="L2" i="4"/>
  <c r="W200" i="6"/>
  <c r="V200" i="6"/>
  <c r="U200" i="6"/>
  <c r="W199" i="6"/>
  <c r="V199" i="6"/>
  <c r="U199" i="6"/>
  <c r="W198" i="6"/>
  <c r="V198" i="6"/>
  <c r="U198" i="6"/>
  <c r="W197" i="6"/>
  <c r="V197" i="6"/>
  <c r="U197" i="6"/>
  <c r="W196" i="6"/>
  <c r="V196" i="6"/>
  <c r="U196" i="6"/>
  <c r="W195" i="6"/>
  <c r="V195" i="6"/>
  <c r="U195" i="6"/>
  <c r="W194" i="6"/>
  <c r="V194" i="6"/>
  <c r="U194" i="6"/>
  <c r="W193" i="6"/>
  <c r="V193" i="6"/>
  <c r="U193" i="6"/>
  <c r="W192" i="6"/>
  <c r="V192" i="6"/>
  <c r="U192" i="6"/>
  <c r="W191" i="6"/>
  <c r="V191" i="6"/>
  <c r="U191" i="6"/>
  <c r="W190" i="6"/>
  <c r="V190" i="6"/>
  <c r="U190" i="6"/>
  <c r="W189" i="6"/>
  <c r="V189" i="6"/>
  <c r="U189" i="6"/>
  <c r="W188" i="6"/>
  <c r="V188" i="6"/>
  <c r="U188" i="6"/>
  <c r="W187" i="6"/>
  <c r="V187" i="6"/>
  <c r="U187" i="6"/>
  <c r="W186" i="6"/>
  <c r="V186" i="6"/>
  <c r="U186" i="6"/>
  <c r="W185" i="6"/>
  <c r="V185" i="6"/>
  <c r="U185" i="6"/>
  <c r="W184" i="6"/>
  <c r="V184" i="6"/>
  <c r="U184" i="6"/>
  <c r="W183" i="6"/>
  <c r="V183" i="6"/>
  <c r="U183" i="6"/>
  <c r="W182" i="6"/>
  <c r="V182" i="6"/>
  <c r="U182" i="6"/>
  <c r="W181" i="6"/>
  <c r="V181" i="6"/>
  <c r="U181" i="6"/>
  <c r="W180" i="6"/>
  <c r="V180" i="6"/>
  <c r="U180" i="6"/>
  <c r="W179" i="6"/>
  <c r="V179" i="6"/>
  <c r="U179" i="6"/>
  <c r="W178" i="6"/>
  <c r="V178" i="6"/>
  <c r="U178" i="6"/>
  <c r="W177" i="6"/>
  <c r="V177" i="6"/>
  <c r="U177" i="6"/>
  <c r="W176" i="6"/>
  <c r="V176" i="6"/>
  <c r="U176" i="6"/>
  <c r="W175" i="6"/>
  <c r="V175" i="6"/>
  <c r="U175" i="6"/>
  <c r="W174" i="6"/>
  <c r="V174" i="6"/>
  <c r="U174" i="6"/>
  <c r="W173" i="6"/>
  <c r="V173" i="6"/>
  <c r="U173" i="6"/>
  <c r="W172" i="6"/>
  <c r="V172" i="6"/>
  <c r="U172" i="6"/>
  <c r="W171" i="6"/>
  <c r="V171" i="6"/>
  <c r="U171" i="6"/>
  <c r="W170" i="6"/>
  <c r="V170" i="6"/>
  <c r="U170" i="6"/>
  <c r="W169" i="6"/>
  <c r="V169" i="6"/>
  <c r="U169" i="6"/>
  <c r="W168" i="6"/>
  <c r="V168" i="6"/>
  <c r="U168" i="6"/>
  <c r="W167" i="6"/>
  <c r="V167" i="6"/>
  <c r="U167" i="6"/>
  <c r="W166" i="6"/>
  <c r="V166" i="6"/>
  <c r="U166" i="6"/>
  <c r="W165" i="6"/>
  <c r="V165" i="6"/>
  <c r="U165" i="6"/>
  <c r="W164" i="6"/>
  <c r="V164" i="6"/>
  <c r="U164" i="6"/>
  <c r="W163" i="6"/>
  <c r="V163" i="6"/>
  <c r="U163" i="6"/>
  <c r="W162" i="6"/>
  <c r="V162" i="6"/>
  <c r="U162" i="6"/>
  <c r="W161" i="6"/>
  <c r="V161" i="6"/>
  <c r="U161" i="6"/>
  <c r="W160" i="6"/>
  <c r="V160" i="6"/>
  <c r="U160" i="6"/>
  <c r="W159" i="6"/>
  <c r="V159" i="6"/>
  <c r="U159" i="6"/>
  <c r="W158" i="6"/>
  <c r="V158" i="6"/>
  <c r="U158" i="6"/>
  <c r="W157" i="6"/>
  <c r="V157" i="6"/>
  <c r="U157" i="6"/>
  <c r="W156" i="6"/>
  <c r="V156" i="6"/>
  <c r="U156" i="6"/>
  <c r="W155" i="6"/>
  <c r="V155" i="6"/>
  <c r="U155" i="6"/>
  <c r="W154" i="6"/>
  <c r="V154" i="6"/>
  <c r="U154" i="6"/>
  <c r="W153" i="6"/>
  <c r="V153" i="6"/>
  <c r="U153" i="6"/>
  <c r="W152" i="6"/>
  <c r="V152" i="6"/>
  <c r="U152" i="6"/>
  <c r="W151" i="6"/>
  <c r="V151" i="6"/>
  <c r="U151" i="6"/>
  <c r="W150" i="6"/>
  <c r="V150" i="6"/>
  <c r="U150" i="6"/>
  <c r="W149" i="6"/>
  <c r="V149" i="6"/>
  <c r="U149" i="6"/>
  <c r="W148" i="6"/>
  <c r="V148" i="6"/>
  <c r="U148" i="6"/>
  <c r="W147" i="6"/>
  <c r="V147" i="6"/>
  <c r="U147" i="6"/>
  <c r="W146" i="6"/>
  <c r="V146" i="6"/>
  <c r="U146" i="6"/>
  <c r="W145" i="6"/>
  <c r="V145" i="6"/>
  <c r="U145" i="6"/>
  <c r="W144" i="6"/>
  <c r="V144" i="6"/>
  <c r="U144" i="6"/>
  <c r="W143" i="6"/>
  <c r="V143" i="6"/>
  <c r="U143" i="6"/>
  <c r="W142" i="6"/>
  <c r="V142" i="6"/>
  <c r="U142" i="6"/>
  <c r="W141" i="6"/>
  <c r="V141" i="6"/>
  <c r="U141" i="6"/>
  <c r="W140" i="6"/>
  <c r="V140" i="6"/>
  <c r="U140" i="6"/>
  <c r="W139" i="6"/>
  <c r="V139" i="6"/>
  <c r="U139" i="6"/>
  <c r="W138" i="6"/>
  <c r="V138" i="6"/>
  <c r="U138" i="6"/>
  <c r="W137" i="6"/>
  <c r="V137" i="6"/>
  <c r="U137" i="6"/>
  <c r="W136" i="6"/>
  <c r="V136" i="6"/>
  <c r="U136" i="6"/>
  <c r="W135" i="6"/>
  <c r="V135" i="6"/>
  <c r="U135" i="6"/>
  <c r="W134" i="6"/>
  <c r="V134" i="6"/>
  <c r="U134" i="6"/>
  <c r="W133" i="6"/>
  <c r="V133" i="6"/>
  <c r="U133" i="6"/>
  <c r="W132" i="6"/>
  <c r="V132" i="6"/>
  <c r="U132" i="6"/>
  <c r="W131" i="6"/>
  <c r="V131" i="6"/>
  <c r="U131" i="6"/>
  <c r="W130" i="6"/>
  <c r="V130" i="6"/>
  <c r="U130" i="6"/>
  <c r="W129" i="6"/>
  <c r="V129" i="6"/>
  <c r="U129" i="6"/>
  <c r="W128" i="6"/>
  <c r="V128" i="6"/>
  <c r="U128" i="6"/>
  <c r="W127" i="6"/>
  <c r="V127" i="6"/>
  <c r="U127" i="6"/>
  <c r="W126" i="6"/>
  <c r="V126" i="6"/>
  <c r="U126" i="6"/>
  <c r="W125" i="6"/>
  <c r="V125" i="6"/>
  <c r="U125" i="6"/>
  <c r="W124" i="6"/>
  <c r="V124" i="6"/>
  <c r="U124" i="6"/>
  <c r="W123" i="6"/>
  <c r="V123" i="6"/>
  <c r="U123" i="6"/>
  <c r="W122" i="6"/>
  <c r="V122" i="6"/>
  <c r="U122" i="6"/>
  <c r="W121" i="6"/>
  <c r="V121" i="6"/>
  <c r="U121" i="6"/>
  <c r="W120" i="6"/>
  <c r="V120" i="6"/>
  <c r="U120" i="6"/>
  <c r="W119" i="6"/>
  <c r="V119" i="6"/>
  <c r="U119" i="6"/>
  <c r="W118" i="6"/>
  <c r="V118" i="6"/>
  <c r="U118" i="6"/>
  <c r="W117" i="6"/>
  <c r="V117" i="6"/>
  <c r="U117" i="6"/>
  <c r="W116" i="6"/>
  <c r="V116" i="6"/>
  <c r="U116" i="6"/>
  <c r="W115" i="6"/>
  <c r="V115" i="6"/>
  <c r="U115" i="6"/>
  <c r="W114" i="6"/>
  <c r="V114" i="6"/>
  <c r="U114" i="6"/>
  <c r="W113" i="6"/>
  <c r="V113" i="6"/>
  <c r="U113" i="6"/>
  <c r="W112" i="6"/>
  <c r="V112" i="6"/>
  <c r="U112" i="6"/>
  <c r="W111" i="6"/>
  <c r="V111" i="6"/>
  <c r="U111" i="6"/>
  <c r="W110" i="6"/>
  <c r="V110" i="6"/>
  <c r="U110" i="6"/>
  <c r="W109" i="6"/>
  <c r="V109" i="6"/>
  <c r="U109" i="6"/>
  <c r="W108" i="6"/>
  <c r="V108" i="6"/>
  <c r="U108" i="6"/>
  <c r="W107" i="6"/>
  <c r="V107" i="6"/>
  <c r="U107" i="6"/>
  <c r="W106" i="6"/>
  <c r="V106" i="6"/>
  <c r="U106" i="6"/>
  <c r="W105" i="6"/>
  <c r="V105" i="6"/>
  <c r="U105" i="6"/>
  <c r="W104" i="6"/>
  <c r="V104" i="6"/>
  <c r="U104" i="6"/>
  <c r="W103" i="6"/>
  <c r="V103" i="6"/>
  <c r="U103" i="6"/>
  <c r="W102" i="6"/>
  <c r="V102" i="6"/>
  <c r="U102" i="6"/>
  <c r="W101" i="6"/>
  <c r="V101" i="6"/>
  <c r="U101" i="6"/>
  <c r="W100" i="6"/>
  <c r="V100" i="6"/>
  <c r="U100" i="6"/>
  <c r="W99" i="6"/>
  <c r="V99" i="6"/>
  <c r="U99" i="6"/>
  <c r="W98" i="6"/>
  <c r="V98" i="6"/>
  <c r="U98" i="6"/>
  <c r="W97" i="6"/>
  <c r="V97" i="6"/>
  <c r="U97" i="6"/>
  <c r="W96" i="6"/>
  <c r="V96" i="6"/>
  <c r="U96" i="6"/>
  <c r="W95" i="6"/>
  <c r="V95" i="6"/>
  <c r="U95" i="6"/>
  <c r="W94" i="6"/>
  <c r="V94" i="6"/>
  <c r="U94" i="6"/>
  <c r="W93" i="6"/>
  <c r="V93" i="6"/>
  <c r="U93" i="6"/>
  <c r="W92" i="6"/>
  <c r="V92" i="6"/>
  <c r="U92" i="6"/>
  <c r="W91" i="6"/>
  <c r="V91" i="6"/>
  <c r="U91" i="6"/>
  <c r="W90" i="6"/>
  <c r="V90" i="6"/>
  <c r="U90" i="6"/>
  <c r="W89" i="6"/>
  <c r="V89" i="6"/>
  <c r="U89" i="6"/>
  <c r="W88" i="6"/>
  <c r="V88" i="6"/>
  <c r="U88" i="6"/>
  <c r="W87" i="6"/>
  <c r="V87" i="6"/>
  <c r="U87" i="6"/>
  <c r="W86" i="6"/>
  <c r="V86" i="6"/>
  <c r="U86" i="6"/>
  <c r="W85" i="6"/>
  <c r="V85" i="6"/>
  <c r="U85" i="6"/>
  <c r="W84" i="6"/>
  <c r="V84" i="6"/>
  <c r="U84" i="6"/>
  <c r="W83" i="6"/>
  <c r="V83" i="6"/>
  <c r="U83" i="6"/>
  <c r="W82" i="6"/>
  <c r="V82" i="6"/>
  <c r="U82" i="6"/>
  <c r="W81" i="6"/>
  <c r="V81" i="6"/>
  <c r="U81" i="6"/>
  <c r="W80" i="6"/>
  <c r="V80" i="6"/>
  <c r="U80" i="6"/>
  <c r="W79" i="6"/>
  <c r="V79" i="6"/>
  <c r="U79" i="6"/>
  <c r="W78" i="6"/>
  <c r="V78" i="6"/>
  <c r="U78" i="6"/>
  <c r="W77" i="6"/>
  <c r="V77" i="6"/>
  <c r="U77" i="6"/>
  <c r="W76" i="6"/>
  <c r="V76" i="6"/>
  <c r="U76" i="6"/>
  <c r="W75" i="6"/>
  <c r="V75" i="6"/>
  <c r="U75" i="6"/>
  <c r="W74" i="6"/>
  <c r="V74" i="6"/>
  <c r="U74" i="6"/>
  <c r="W73" i="6"/>
  <c r="V73" i="6"/>
  <c r="U73" i="6"/>
  <c r="W72" i="6"/>
  <c r="V72" i="6"/>
  <c r="U72" i="6"/>
  <c r="W71" i="6"/>
  <c r="V71" i="6"/>
  <c r="U71" i="6"/>
  <c r="W70" i="6"/>
  <c r="V70" i="6"/>
  <c r="U70" i="6"/>
  <c r="W69" i="6"/>
  <c r="V69" i="6"/>
  <c r="U69" i="6"/>
  <c r="W68" i="6"/>
  <c r="V68" i="6"/>
  <c r="U68" i="6"/>
  <c r="W67" i="6"/>
  <c r="V67" i="6"/>
  <c r="U67" i="6"/>
  <c r="W66" i="6"/>
  <c r="V66" i="6"/>
  <c r="U66" i="6"/>
  <c r="W65" i="6"/>
  <c r="V65" i="6"/>
  <c r="U65" i="6"/>
  <c r="W64" i="6"/>
  <c r="V64" i="6"/>
  <c r="U64" i="6"/>
  <c r="W63" i="6"/>
  <c r="V63" i="6"/>
  <c r="U63" i="6"/>
  <c r="W62" i="6"/>
  <c r="V62" i="6"/>
  <c r="U62" i="6"/>
  <c r="W61" i="6"/>
  <c r="V61" i="6"/>
  <c r="U61" i="6"/>
  <c r="W60" i="6"/>
  <c r="V60" i="6"/>
  <c r="U60" i="6"/>
  <c r="W59" i="6"/>
  <c r="V59" i="6"/>
  <c r="U59" i="6"/>
  <c r="W58" i="6"/>
  <c r="V58" i="6"/>
  <c r="U58" i="6"/>
  <c r="W57" i="6"/>
  <c r="V57" i="6"/>
  <c r="U57" i="6"/>
  <c r="W56" i="6"/>
  <c r="V56" i="6"/>
  <c r="U56" i="6"/>
  <c r="W55" i="6"/>
  <c r="V55" i="6"/>
  <c r="U55" i="6"/>
  <c r="W54" i="6"/>
  <c r="V54" i="6"/>
  <c r="U54" i="6"/>
  <c r="W53" i="6"/>
  <c r="V53" i="6"/>
  <c r="U53" i="6"/>
  <c r="W52" i="6"/>
  <c r="V52" i="6"/>
  <c r="U52" i="6"/>
  <c r="W51" i="6"/>
  <c r="V51" i="6"/>
  <c r="U51" i="6"/>
  <c r="W50" i="6"/>
  <c r="V50" i="6"/>
  <c r="U50" i="6"/>
  <c r="W49" i="6"/>
  <c r="V49" i="6"/>
  <c r="U49" i="6"/>
  <c r="W48" i="6"/>
  <c r="V48" i="6"/>
  <c r="U48" i="6"/>
  <c r="W47" i="6"/>
  <c r="V47" i="6"/>
  <c r="U47" i="6"/>
  <c r="W46" i="6"/>
  <c r="V46" i="6"/>
  <c r="U46" i="6"/>
  <c r="W45" i="6"/>
  <c r="V45" i="6"/>
  <c r="U45" i="6"/>
  <c r="W44" i="6"/>
  <c r="V44" i="6"/>
  <c r="U44" i="6"/>
  <c r="W43" i="6"/>
  <c r="V43" i="6"/>
  <c r="U43" i="6"/>
  <c r="W42" i="6"/>
  <c r="V42" i="6"/>
  <c r="U42" i="6"/>
  <c r="W41" i="6"/>
  <c r="V41" i="6"/>
  <c r="U41" i="6"/>
  <c r="W40" i="6"/>
  <c r="V40" i="6"/>
  <c r="U40" i="6"/>
  <c r="W39" i="6"/>
  <c r="V39" i="6"/>
  <c r="U39" i="6"/>
  <c r="W38" i="6"/>
  <c r="V38" i="6"/>
  <c r="U38" i="6"/>
  <c r="W37" i="6"/>
  <c r="V37" i="6"/>
  <c r="U37" i="6"/>
  <c r="W36" i="6"/>
  <c r="V36" i="6"/>
  <c r="U36" i="6"/>
  <c r="W35" i="6"/>
  <c r="V35" i="6"/>
  <c r="U35" i="6"/>
  <c r="W34" i="6"/>
  <c r="V34" i="6"/>
  <c r="U34" i="6"/>
  <c r="W33" i="6"/>
  <c r="V33" i="6"/>
  <c r="U33" i="6"/>
  <c r="W32" i="6"/>
  <c r="V32" i="6"/>
  <c r="U32" i="6"/>
  <c r="W31" i="6"/>
  <c r="V31" i="6"/>
  <c r="U31" i="6"/>
  <c r="W30" i="6"/>
  <c r="V30" i="6"/>
  <c r="U30" i="6"/>
  <c r="W29" i="6"/>
  <c r="V29" i="6"/>
  <c r="U29" i="6"/>
  <c r="W28" i="6"/>
  <c r="V28" i="6"/>
  <c r="U28" i="6"/>
  <c r="W27" i="6"/>
  <c r="V27" i="6"/>
  <c r="U27" i="6"/>
  <c r="W26" i="6"/>
  <c r="V26" i="6"/>
  <c r="U26" i="6"/>
  <c r="W25" i="6"/>
  <c r="V25" i="6"/>
  <c r="U25" i="6"/>
  <c r="W24" i="6"/>
  <c r="V24" i="6"/>
  <c r="U24" i="6"/>
  <c r="W23" i="6"/>
  <c r="V23" i="6"/>
  <c r="U23" i="6"/>
  <c r="W22" i="6"/>
  <c r="V22" i="6"/>
  <c r="U22" i="6"/>
  <c r="W21" i="6"/>
  <c r="V21" i="6"/>
  <c r="U21" i="6"/>
  <c r="W20" i="6"/>
  <c r="V20" i="6"/>
  <c r="U20" i="6"/>
  <c r="W19" i="6"/>
  <c r="V19" i="6"/>
  <c r="U19" i="6"/>
  <c r="W18" i="6"/>
  <c r="V18" i="6"/>
  <c r="U18" i="6"/>
  <c r="W17" i="6"/>
  <c r="V17" i="6"/>
  <c r="U17" i="6"/>
  <c r="W16" i="6"/>
  <c r="V16" i="6"/>
  <c r="U16" i="6"/>
  <c r="W15" i="6"/>
  <c r="V15" i="6"/>
  <c r="U15" i="6"/>
  <c r="W14" i="6"/>
  <c r="V14" i="6"/>
  <c r="U14" i="6"/>
  <c r="W13" i="6"/>
  <c r="V13" i="6"/>
  <c r="U13" i="6"/>
  <c r="W12" i="6"/>
  <c r="V12" i="6"/>
  <c r="U12" i="6"/>
  <c r="W11" i="6"/>
  <c r="V11" i="6"/>
  <c r="U11" i="6"/>
  <c r="W10" i="6"/>
  <c r="V10" i="6"/>
  <c r="U10" i="6"/>
  <c r="W9" i="6"/>
  <c r="V9" i="6"/>
  <c r="U9" i="6"/>
  <c r="W8" i="6"/>
  <c r="V8" i="6"/>
  <c r="U8" i="6"/>
  <c r="W7" i="6"/>
  <c r="V7" i="6"/>
  <c r="U7" i="6"/>
  <c r="W6" i="6"/>
  <c r="V6" i="6"/>
  <c r="U6" i="6"/>
  <c r="W5" i="6"/>
  <c r="V5" i="6"/>
  <c r="U5" i="6"/>
  <c r="W4" i="6"/>
  <c r="V4" i="6"/>
  <c r="U4" i="6"/>
  <c r="W3" i="6"/>
  <c r="V3" i="6"/>
  <c r="U3" i="6"/>
  <c r="W2" i="6"/>
  <c r="V2" i="6"/>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alcChain>
</file>

<file path=xl/sharedStrings.xml><?xml version="1.0" encoding="utf-8"?>
<sst xmlns="http://schemas.openxmlformats.org/spreadsheetml/2006/main" count="5164" uniqueCount="4028">
  <si>
    <t>Please complete Metadata_survey effort and Data return sheet, ensuring all fields are completed.</t>
  </si>
  <si>
    <t xml:space="preserve">*Only one data sheet should be filled in. The Data Return - Relocation (only) worksheet is for relocation projects. </t>
  </si>
  <si>
    <t>The below information is provided as a guide for the definition and requirements for each field for the Return Template.</t>
  </si>
  <si>
    <t>Column heading</t>
  </si>
  <si>
    <t>Values</t>
  </si>
  <si>
    <t>Description</t>
  </si>
  <si>
    <t>Notes</t>
  </si>
  <si>
    <t>AUTHORISATION_HOLDER</t>
  </si>
  <si>
    <t xml:space="preserve">Name on the Authorisations. </t>
  </si>
  <si>
    <t>NIL_RETURN</t>
  </si>
  <si>
    <t>Y or N</t>
  </si>
  <si>
    <t xml:space="preserve">This field indicates if fauna were taken or disturbed whilst completing work under the Authorisation. If fauna were taken or disturbed, this field will be ‘N.’ Entering ‘Y’ means it is a nil return. </t>
  </si>
  <si>
    <t>LOCATION</t>
  </si>
  <si>
    <t>This is the general locality name (e.g. shire or property name) for where the fauna survey was conducted.</t>
  </si>
  <si>
    <t>SITE</t>
  </si>
  <si>
    <t xml:space="preserve">This field allows for additional locality information, such as specific trap numbers or site locations. </t>
  </si>
  <si>
    <t>DATUM</t>
  </si>
  <si>
    <t>AGD66
AGD84
GDA94 or
WGS84</t>
  </si>
  <si>
    <t>This is the coordinate system from which spatial data is derived. It can only be one of the mentioned datum codes.</t>
  </si>
  <si>
    <t>Drop down list (highlighted yellow)</t>
  </si>
  <si>
    <t>LATITUDE</t>
  </si>
  <si>
    <t>E.g.: -33.5678</t>
  </si>
  <si>
    <t>Latitude values must be provided as decimal degrees and must reference the site location and not the general locality. This number should be a negative value.</t>
  </si>
  <si>
    <t>Please note that this field may be left empty if a projected spatial value is provided.</t>
  </si>
  <si>
    <t>LONGITUDE</t>
  </si>
  <si>
    <t>E.g.: 115.3456</t>
  </si>
  <si>
    <t>Longitude values must be provided as decimal degrees and must reference the site location and not the general locality.</t>
  </si>
  <si>
    <t>ZONE</t>
  </si>
  <si>
    <t>49
50
51 or
52</t>
  </si>
  <si>
    <t>This is the projected map zone or UTM zone.</t>
  </si>
  <si>
    <t>Please note that this field may be left empty if a geographical spatial value is provided.
Drop down list (highlighted yellow)</t>
  </si>
  <si>
    <t>EASTING</t>
  </si>
  <si>
    <t>E.g.:123456</t>
  </si>
  <si>
    <t>The easting value will always have 6 digits and must reference the site location and not the general locality.</t>
  </si>
  <si>
    <t>Please note that this field may be left empty if a geographical spatial value is provided.</t>
  </si>
  <si>
    <t>NORTHING</t>
  </si>
  <si>
    <t>E.g.: 1234567</t>
  </si>
  <si>
    <t>The northing value will always have 7 digits and must reference the site location and not the general locality.</t>
  </si>
  <si>
    <t xml:space="preserve">Please note that this field may be left empty if a geographical spatial value is provided. </t>
  </si>
  <si>
    <t>ACCURACY</t>
  </si>
  <si>
    <t>1
2
3
4
5
6</t>
  </si>
  <si>
    <t>1 – within 100m of the site
2 – within 3km of the site
3 – within 10km of the site
4 – within 25km of the site
5 – within an area greater than 25km of the site
6 – Indefinable within Australia</t>
  </si>
  <si>
    <t>Drop down list (highlighted yellow)
This is the level of accuracy of the spatial coordinates.</t>
  </si>
  <si>
    <t>TAKE/DISTURB_DATE</t>
  </si>
  <si>
    <t>DD/MM/YYYY</t>
  </si>
  <si>
    <t>This is the date of capture/take or observation/disturb of the fauna species being reported.</t>
  </si>
  <si>
    <t>SCIENTIFIC_NAME</t>
  </si>
  <si>
    <t>The scientific name for the species.</t>
  </si>
  <si>
    <t>COMMON_NAME</t>
  </si>
  <si>
    <t>The recognised common name for the species.</t>
  </si>
  <si>
    <t>Cell should autopopulate once species name is entered. Drop down list (highlighted yellow)</t>
  </si>
  <si>
    <t>NAME_ID</t>
  </si>
  <si>
    <t>This is the unique numeric identifier assigned to each taxon.</t>
  </si>
  <si>
    <t>WA STATUS</t>
  </si>
  <si>
    <t>CR
EN
VU
P1
P2
P3
P4
CD
MI</t>
  </si>
  <si>
    <t>Species conservation status in WA:
CR - Critically Endangered
EN - Endangered
VU - Vulnerable
P1 - Priority 1: poorly known species
P2 - Priority 2: poorly known species
P3 - Priority 3: poorly known species
P4 - Priority 4: rare, near threatened and other species in need of monitoring
S - Specially protected
IA - International agreement
EX - Extinct</t>
  </si>
  <si>
    <t>COUNT</t>
  </si>
  <si>
    <t>This column should indicate the number of individuals of each species observed at each site on each day of monitoring. You should only count each animal once per survey e.g. New animals and Recaptures for each survey.</t>
  </si>
  <si>
    <t>IDENTIFIER</t>
  </si>
  <si>
    <t>This column should have the full name of the person or organisation that has identified the species.</t>
  </si>
  <si>
    <t>CERTAINTY</t>
  </si>
  <si>
    <t>1
2
3
4</t>
  </si>
  <si>
    <t>1 Not sure (Identified to family level or lower)
2 Moderately certain (Identified to genus level)
3 Certain (Identified to species level)
4 WAM Vouchered</t>
  </si>
  <si>
    <t>METHOD</t>
  </si>
  <si>
    <t>See data return sheet</t>
  </si>
  <si>
    <t>Activitye (trap type, handling method, technique to be undertaken)</t>
  </si>
  <si>
    <t>FATE</t>
  </si>
  <si>
    <t>Health status of the animal</t>
  </si>
  <si>
    <t>SAMPLES</t>
  </si>
  <si>
    <t xml:space="preserve">Biological samples collected. </t>
  </si>
  <si>
    <t>MARKING (Y/N)</t>
  </si>
  <si>
    <t>Confirmination of whether marking was undertaken.</t>
  </si>
  <si>
    <t xml:space="preserve">Method used to permanently or temporarily mark an animal. </t>
  </si>
  <si>
    <t xml:space="preserve">Additonal marking method to permanently or temporarily mark an animal. </t>
  </si>
  <si>
    <t>TRANSMITTER</t>
  </si>
  <si>
    <t xml:space="preserve">Type of tranmitter attached. </t>
  </si>
  <si>
    <t>VOUCHER_REF</t>
  </si>
  <si>
    <t>The voucher reference number is a unique reference that the licensee has associated with the species caught. This can include ear tag or micro-chip numbers.</t>
  </si>
  <si>
    <t>ADVERSE EVENT</t>
  </si>
  <si>
    <t xml:space="preserve">Notification of injury, death or unplanned euthanasia.  </t>
  </si>
  <si>
    <t>CAPTURE STATUS</t>
  </si>
  <si>
    <t xml:space="preserve">Type of capture (new/recapture). </t>
  </si>
  <si>
    <t>COMMENTS (OTHER)</t>
  </si>
  <si>
    <t xml:space="preserve">Enter additonal information where 'other' was selected in any drop down list. </t>
  </si>
  <si>
    <t>AFFILIATION_COMPANY</t>
  </si>
  <si>
    <t>AUTHORISATION_NUMBER</t>
  </si>
  <si>
    <t>NIL_RETURN (Y/N)</t>
  </si>
  <si>
    <t>Survey session start date</t>
  </si>
  <si>
    <t>Survey session end date</t>
  </si>
  <si>
    <t>Method</t>
  </si>
  <si>
    <t>Number of traps at site</t>
  </si>
  <si>
    <t>Number of nights</t>
  </si>
  <si>
    <t>Comments</t>
  </si>
  <si>
    <t>Example:</t>
  </si>
  <si>
    <t>Busselton</t>
  </si>
  <si>
    <t>Ted Street Reserve</t>
  </si>
  <si>
    <t>small cage trap, treadle</t>
  </si>
  <si>
    <t>Aluminium box trap (e.g. Elliott)</t>
  </si>
  <si>
    <t>Dry pitfall trap</t>
  </si>
  <si>
    <t>Closed due to increased ant activity</t>
  </si>
  <si>
    <t>Funnel trap</t>
  </si>
  <si>
    <t>WA_STATUS</t>
  </si>
  <si>
    <t xml:space="preserve">METHOD </t>
  </si>
  <si>
    <t>SAMPLES_1</t>
  </si>
  <si>
    <t>SAMPLES_2</t>
  </si>
  <si>
    <t>SAMPLES_3</t>
  </si>
  <si>
    <t>MARKING</t>
  </si>
  <si>
    <t>MARKING_METHOD</t>
  </si>
  <si>
    <t>MARKING_METHOD_2</t>
  </si>
  <si>
    <t>ADVERSE_EVENT</t>
  </si>
  <si>
    <t>CAPTURE_STATUS</t>
  </si>
  <si>
    <t>CAPTURE_SITE</t>
  </si>
  <si>
    <t>CAPTURE_DATE</t>
  </si>
  <si>
    <t>RELEASE_SITE</t>
  </si>
  <si>
    <t>RELEASE_DATE</t>
  </si>
  <si>
    <t>N/A  (Observational only)</t>
  </si>
  <si>
    <t>Nil</t>
  </si>
  <si>
    <t>Not marked</t>
  </si>
  <si>
    <t>N/A</t>
  </si>
  <si>
    <t>AGD66</t>
  </si>
  <si>
    <t>1 – within 100m of the site</t>
  </si>
  <si>
    <t>1 Not sure (Identified to family level or lower)</t>
  </si>
  <si>
    <t>Small cage trap, treadle</t>
  </si>
  <si>
    <t>Released at capture site</t>
  </si>
  <si>
    <t>Tissue</t>
  </si>
  <si>
    <t>Marked</t>
  </si>
  <si>
    <t>Ear tag</t>
  </si>
  <si>
    <t>Collar</t>
  </si>
  <si>
    <t>Unplanned euthanasia</t>
  </si>
  <si>
    <t>New capture</t>
  </si>
  <si>
    <t>AGD84</t>
  </si>
  <si>
    <t>2 – within 3km of the site</t>
  </si>
  <si>
    <t>2 Moderately certain (Identified to genus level)</t>
  </si>
  <si>
    <t>Medium cage trap, treadle</t>
  </si>
  <si>
    <t>Released at capture site (minor injury)</t>
  </si>
  <si>
    <t>Scale clip</t>
  </si>
  <si>
    <t>Wing band</t>
  </si>
  <si>
    <t>Harness</t>
  </si>
  <si>
    <t>Unplanned death</t>
  </si>
  <si>
    <t>Recapture, previous session</t>
  </si>
  <si>
    <t>GDA94</t>
  </si>
  <si>
    <t>3 – within 10km of the site</t>
  </si>
  <si>
    <t>3 Certain (Identified to species level)</t>
  </si>
  <si>
    <t>Large cage trap, treadle</t>
  </si>
  <si>
    <t>Released adjacent to capture site</t>
  </si>
  <si>
    <t>Blood</t>
  </si>
  <si>
    <t>Leg band</t>
  </si>
  <si>
    <t>Tail mount</t>
  </si>
  <si>
    <t>Injury</t>
  </si>
  <si>
    <t>Recapture, same session</t>
  </si>
  <si>
    <t>WGS84</t>
  </si>
  <si>
    <t>4 – within 25km of the site</t>
  </si>
  <si>
    <t>4 WAM Vouchered</t>
  </si>
  <si>
    <t>Thomas trap</t>
  </si>
  <si>
    <t>Released adjacent to capture site (minor injury)</t>
  </si>
  <si>
    <t>Swab</t>
  </si>
  <si>
    <t>PIT implant/microchip</t>
  </si>
  <si>
    <t xml:space="preserve">Glued/adhered transmitter </t>
  </si>
  <si>
    <t>Abandoned young or eggs</t>
  </si>
  <si>
    <t>Other</t>
  </si>
  <si>
    <t>5 – within an area greater than 25km of the site</t>
  </si>
  <si>
    <t>Bromilow Trap</t>
  </si>
  <si>
    <t xml:space="preserve">Released at approved non-adjacent site </t>
  </si>
  <si>
    <t>Hair/feather</t>
  </si>
  <si>
    <t>Implanted transmitter</t>
  </si>
  <si>
    <t>6 – Indefinable within Australia</t>
  </si>
  <si>
    <t>Wet pitfall trap</t>
  </si>
  <si>
    <t>Released at approved non-adjacent site (minor injury)</t>
  </si>
  <si>
    <t>Ear notch</t>
  </si>
  <si>
    <t>Taken for captive breeding</t>
  </si>
  <si>
    <t>Temporary marking (e.g. marker pen, dye, streamers, hair removal)</t>
  </si>
  <si>
    <t>Taken for captivity (e.g. display)</t>
  </si>
  <si>
    <t>Flipper tagging</t>
  </si>
  <si>
    <t>Harp trap</t>
  </si>
  <si>
    <t>Taken for long-term use (greater than 72 hours), with intent of release</t>
  </si>
  <si>
    <t>Fyke net</t>
  </si>
  <si>
    <t>Taken for permanent use (scientific research), no release</t>
  </si>
  <si>
    <t>Seine net</t>
  </si>
  <si>
    <t>Taken live for identification and released within 24 hours</t>
  </si>
  <si>
    <t>Cathedral or opera trap</t>
  </si>
  <si>
    <t>Taken into care</t>
  </si>
  <si>
    <t>Hand net</t>
  </si>
  <si>
    <t>Deceased in trap</t>
  </si>
  <si>
    <t>Mist net</t>
  </si>
  <si>
    <t>Died during handling procedures</t>
  </si>
  <si>
    <t>Cannon net</t>
  </si>
  <si>
    <t>Died during transport</t>
  </si>
  <si>
    <t>Noose and tong</t>
  </si>
  <si>
    <t>Euthanasied (pest)</t>
  </si>
  <si>
    <t>Hand capture</t>
  </si>
  <si>
    <t>Euthanised for welfare reasons</t>
  </si>
  <si>
    <t>Darting</t>
  </si>
  <si>
    <t>Mother and PY intervention, successful</t>
  </si>
  <si>
    <t>Corral into containment</t>
  </si>
  <si>
    <t>Mother and PY intervention, failed</t>
  </si>
  <si>
    <t>Haul, srapes and/or bailers (e.g. stygofauna)</t>
  </si>
  <si>
    <t xml:space="preserve">Vouchered </t>
  </si>
  <si>
    <t>Displacement</t>
  </si>
  <si>
    <t>Hair trap</t>
  </si>
  <si>
    <t>Lured/baited (consumable) remote camera</t>
  </si>
  <si>
    <t>Lured/baited (non-consumable) remote camera</t>
  </si>
  <si>
    <t>Spotlighting</t>
  </si>
  <si>
    <t xml:space="preserve">Drone captured photos/video </t>
  </si>
  <si>
    <t>Hollow/nest box monitoring (e.g. camera, knock, tap)</t>
  </si>
  <si>
    <t>Indirect observation (e.g sand plot, scat plot, tracks)</t>
  </si>
  <si>
    <t>Acoustic recorder (e.g. placed inside caves (bats), suitable habitat (night parrot)</t>
  </si>
  <si>
    <t>SPECIES_NAME</t>
  </si>
  <si>
    <t>VERNACULAR</t>
  </si>
  <si>
    <t>CONSV_CODE</t>
  </si>
  <si>
    <t>Abebaioscia troglodytes</t>
  </si>
  <si>
    <t>Pannikin Plain Cave Isopod</t>
  </si>
  <si>
    <t>VU</t>
  </si>
  <si>
    <t>Acanthagenys rufogularis</t>
  </si>
  <si>
    <t>Spiny-cheeked Honeyeater</t>
  </si>
  <si>
    <t>Acanthiza apicalis</t>
  </si>
  <si>
    <t>Broad-tailed Thornbill</t>
  </si>
  <si>
    <t>Acanthiza apicalis apicalis</t>
  </si>
  <si>
    <t>Acanthiza chrysorrhoa</t>
  </si>
  <si>
    <t>Yellow-rumped Thornbill</t>
  </si>
  <si>
    <t>Acanthiza chrysorrhoa chrysorrhoa</t>
  </si>
  <si>
    <t>Acanthiza inornata</t>
  </si>
  <si>
    <t>Western Thornbill</t>
  </si>
  <si>
    <t>Acanthiza iredalei</t>
  </si>
  <si>
    <t>Samphire Thornbill</t>
  </si>
  <si>
    <t>Acanthiza iredalei iredalei</t>
  </si>
  <si>
    <t>Acanthiza robustirostris</t>
  </si>
  <si>
    <t>Slaty-backed Thornbill</t>
  </si>
  <si>
    <t>Acanthiza uropygialis</t>
  </si>
  <si>
    <t>Chestnut-rumped Thornbill</t>
  </si>
  <si>
    <t>Acanthophis antarcticus</t>
  </si>
  <si>
    <t>Southern Death Adder</t>
  </si>
  <si>
    <t>P3</t>
  </si>
  <si>
    <t>Acanthophis praelongus</t>
  </si>
  <si>
    <t>Northern Death Adder</t>
  </si>
  <si>
    <t>Acanthophis pyrrhus</t>
  </si>
  <si>
    <t>Desert Death Adder</t>
  </si>
  <si>
    <t>Acanthophis wellsi</t>
  </si>
  <si>
    <t>Pilbara Death Adder</t>
  </si>
  <si>
    <t>Acanthorhynchus superciliosus</t>
  </si>
  <si>
    <t>Western Spinebill</t>
  </si>
  <si>
    <t>Accipiter cirrocephalus</t>
  </si>
  <si>
    <t>Collared Sparrowhawk</t>
  </si>
  <si>
    <t>Accipiter cirrocephalus cirrocephalus</t>
  </si>
  <si>
    <t>Accipiter fasciatus</t>
  </si>
  <si>
    <t>Brown Goshawk</t>
  </si>
  <si>
    <t>Accipiter fasciatus didimus</t>
  </si>
  <si>
    <t>Accipiter fasciatus fasciatus</t>
  </si>
  <si>
    <t>Accipiter novaehollandiae</t>
  </si>
  <si>
    <t>Grey Goshawk</t>
  </si>
  <si>
    <t>Accipiter novaehollandiae novaehollandiae</t>
  </si>
  <si>
    <t>Acercella poorginup</t>
  </si>
  <si>
    <t>Poorginup Swamp Watermite</t>
  </si>
  <si>
    <t>P2</t>
  </si>
  <si>
    <t>Acizzia mccarthyi</t>
  </si>
  <si>
    <t>McCarthy's plant-louse</t>
  </si>
  <si>
    <t>Acizzia veski</t>
  </si>
  <si>
    <t>Vesk's plant-louse</t>
  </si>
  <si>
    <t>Acridotheres tristis</t>
  </si>
  <si>
    <t>Common Myna</t>
  </si>
  <si>
    <t>Acridotheres tristis [tristis]</t>
  </si>
  <si>
    <t>Acritoscincus trilineatus</t>
  </si>
  <si>
    <t>Western Three-lined Skink</t>
  </si>
  <si>
    <t>Acrocephalus australis</t>
  </si>
  <si>
    <t>Australian Reed Warbler</t>
  </si>
  <si>
    <t>Acrocephalus australis gouldi</t>
  </si>
  <si>
    <t>Acrocephalus orientalis</t>
  </si>
  <si>
    <t>Oriental Reed Warbler</t>
  </si>
  <si>
    <t>IA</t>
  </si>
  <si>
    <t>Acrochordus granulatus</t>
  </si>
  <si>
    <t>Little Wart-snake</t>
  </si>
  <si>
    <t>Actitis hypoleucos</t>
  </si>
  <si>
    <t>Common Sandpiper</t>
  </si>
  <si>
    <t>Aegotheles cristatus</t>
  </si>
  <si>
    <t>Australian Owlet-nightjar</t>
  </si>
  <si>
    <t>Aegotheles cristatus cristatus</t>
  </si>
  <si>
    <t>Aegotheles cristatus leucogaster</t>
  </si>
  <si>
    <t>Aganippe castellum</t>
  </si>
  <si>
    <t>Tree-stem Trapdoor Spider</t>
  </si>
  <si>
    <t>P4</t>
  </si>
  <si>
    <t>Aipysurus apraefrontalis</t>
  </si>
  <si>
    <t>Short-nosed Seasnake</t>
  </si>
  <si>
    <t>CR</t>
  </si>
  <si>
    <t>Aipysurus duboisii</t>
  </si>
  <si>
    <t>Dubois' Seasnake</t>
  </si>
  <si>
    <t>Aipysurus eydouxii</t>
  </si>
  <si>
    <t>Spine-tailed Seasnake</t>
  </si>
  <si>
    <t>Aipysurus foliosquama</t>
  </si>
  <si>
    <t>Leaf-scaled Seasnake</t>
  </si>
  <si>
    <t>Aipysurus fuscus</t>
  </si>
  <si>
    <t>Dusky Seasnake</t>
  </si>
  <si>
    <t>Aipysurus laevis</t>
  </si>
  <si>
    <t>Olive Seasnake</t>
  </si>
  <si>
    <t>Aipysurus mosaicus</t>
  </si>
  <si>
    <t>Mosaic Seasnake</t>
  </si>
  <si>
    <t>Aipysurus pooleorum</t>
  </si>
  <si>
    <t>Shark Bay Seasnake</t>
  </si>
  <si>
    <t>Aipysurus tenuis</t>
  </si>
  <si>
    <t>Brown-lined Seasnake</t>
  </si>
  <si>
    <t>Amalosia obscura</t>
  </si>
  <si>
    <t>Slim velvet gecko</t>
  </si>
  <si>
    <t>Amalosia rhombifer</t>
  </si>
  <si>
    <t>Zigzag velvet gecko</t>
  </si>
  <si>
    <t>Amaurornis moluccana</t>
  </si>
  <si>
    <t>Bush Hen</t>
  </si>
  <si>
    <t>Amaurornis moluccana ruficrissa</t>
  </si>
  <si>
    <t>Pale-vented Bush-hen</t>
  </si>
  <si>
    <t>Amaurornis phoenicurus</t>
  </si>
  <si>
    <t>White-breasted Waterhen</t>
  </si>
  <si>
    <t>Amaurornis phoenicurus leucomelanus</t>
  </si>
  <si>
    <t>Amphibolurus gilberti</t>
  </si>
  <si>
    <t>Ta-ta</t>
  </si>
  <si>
    <t>Amphibolurus longirostris</t>
  </si>
  <si>
    <t>Long-nosed Dragon</t>
  </si>
  <si>
    <t>Amphibolurus norrisi</t>
  </si>
  <si>
    <t>Mallee Tree Dragon</t>
  </si>
  <si>
    <t>Amplirhagada astuta</t>
  </si>
  <si>
    <t>a camaenid land snail (Koolan and Molema Islands)</t>
  </si>
  <si>
    <t>Amplirhagada herbertena</t>
  </si>
  <si>
    <t>Herbert's land snail (Buccaneer Archipelago)</t>
  </si>
  <si>
    <t>P1</t>
  </si>
  <si>
    <t>Amplirhagada montalivetensis</t>
  </si>
  <si>
    <t>Motalivet Island camaenid land snail</t>
  </si>
  <si>
    <t>Amplirhagada novelta</t>
  </si>
  <si>
    <t>a camaenid land snail (Napier-Broome Bay)</t>
  </si>
  <si>
    <t>Amplirhagada questroana</t>
  </si>
  <si>
    <t>El Questro Station camaenid land snail</t>
  </si>
  <si>
    <t>Amytornis housei</t>
  </si>
  <si>
    <t>Black Grasswren</t>
  </si>
  <si>
    <t>Amytornis purnelli</t>
  </si>
  <si>
    <t>Dusky Grasswren</t>
  </si>
  <si>
    <t>Amytornis purnelli purnelli</t>
  </si>
  <si>
    <t>Amytornis striatus</t>
  </si>
  <si>
    <t>Striated Grasswren</t>
  </si>
  <si>
    <t>Amytornis striatus striatus</t>
  </si>
  <si>
    <t>Striated Grasswren (inland)</t>
  </si>
  <si>
    <t>Amytornis striatus whitei</t>
  </si>
  <si>
    <t>Rufous Grasswren</t>
  </si>
  <si>
    <t>Amytornis textilis</t>
  </si>
  <si>
    <t>Thick-billed Grasswren</t>
  </si>
  <si>
    <t>Amytornis textilis textilis</t>
  </si>
  <si>
    <t>Western Grasswren</t>
  </si>
  <si>
    <t>Anas acuta</t>
  </si>
  <si>
    <t>Northern Pintail</t>
  </si>
  <si>
    <t>Anas acuta acuta</t>
  </si>
  <si>
    <t>Anas castanea</t>
  </si>
  <si>
    <t>Chestnut Teal</t>
  </si>
  <si>
    <t>Anas clypeata</t>
  </si>
  <si>
    <t>Northern Shoveler</t>
  </si>
  <si>
    <t>Anas gracilis</t>
  </si>
  <si>
    <t>Grey Teal</t>
  </si>
  <si>
    <t>Anas penelope</t>
  </si>
  <si>
    <t>Eurasian Widgeon</t>
  </si>
  <si>
    <t>Anas platyrhynchos</t>
  </si>
  <si>
    <t>Mallard</t>
  </si>
  <si>
    <t>Anas querquedula</t>
  </si>
  <si>
    <t>Garganey</t>
  </si>
  <si>
    <t>Anas rhynchotis</t>
  </si>
  <si>
    <t>Australasian Shoveler</t>
  </si>
  <si>
    <t>Anas rhynchotis rhynchotis</t>
  </si>
  <si>
    <t>Anas superciliosa</t>
  </si>
  <si>
    <t>Pacific Black Duck</t>
  </si>
  <si>
    <t>Anhinga novaehollandiae</t>
  </si>
  <si>
    <t>Australasian Darter</t>
  </si>
  <si>
    <t>Anhinga novaehollandiae novaehollandiae</t>
  </si>
  <si>
    <t>Anilios ammodytes</t>
  </si>
  <si>
    <t>Anilios australis</t>
  </si>
  <si>
    <t>Anilios bicolor</t>
  </si>
  <si>
    <t>Anilios bituberculatus</t>
  </si>
  <si>
    <t>Anilios diversus</t>
  </si>
  <si>
    <t>Anilios endoterus</t>
  </si>
  <si>
    <t>Anilios ganei</t>
  </si>
  <si>
    <t>Gane's blind snake (Pilbara)</t>
  </si>
  <si>
    <t>Anilios grypus</t>
  </si>
  <si>
    <t>Anilios guentheri</t>
  </si>
  <si>
    <t>Anilios hamatus</t>
  </si>
  <si>
    <t>Anilios howi</t>
  </si>
  <si>
    <t>Kimberley deep-soil blind snake (Admiralty Gulf)</t>
  </si>
  <si>
    <t>Anilios kimberleyensis</t>
  </si>
  <si>
    <t>Anilios leptosoma</t>
  </si>
  <si>
    <t>Anilios ligatus</t>
  </si>
  <si>
    <t>Anilios longissimus</t>
  </si>
  <si>
    <t>Barrow Island blind snake</t>
  </si>
  <si>
    <t>Anilios margaretae</t>
  </si>
  <si>
    <t>buff snouted blind snake (Lake Throssell)</t>
  </si>
  <si>
    <t>Anilios micromma</t>
  </si>
  <si>
    <t>small-eyed blind snake (Leopold Downs)</t>
  </si>
  <si>
    <t>Anilios pilbarensis</t>
  </si>
  <si>
    <t>Anilios pinguis</t>
  </si>
  <si>
    <t>Anilios sp. (Cape Range)</t>
  </si>
  <si>
    <t>Cape Range blind snake</t>
  </si>
  <si>
    <t>Anilios splendidus</t>
  </si>
  <si>
    <t>splendid blind snake (North West Cape)</t>
  </si>
  <si>
    <t>Anilios troglodytes</t>
  </si>
  <si>
    <t>Sandamara blind snake (Napier Range)</t>
  </si>
  <si>
    <t>Anilios unguirostris</t>
  </si>
  <si>
    <t>Anilios waitii</t>
  </si>
  <si>
    <t>Anilios yampiensis</t>
  </si>
  <si>
    <t>Yampi blind snake (Yampi Sound)</t>
  </si>
  <si>
    <t>Anous minutus</t>
  </si>
  <si>
    <t>Black Noddy</t>
  </si>
  <si>
    <t>Anous minutus minutus</t>
  </si>
  <si>
    <t>Anous stolidus</t>
  </si>
  <si>
    <t>Common Noddy</t>
  </si>
  <si>
    <t>Anous stolidus pileatus</t>
  </si>
  <si>
    <t>Anous tenuirostris</t>
  </si>
  <si>
    <t>Lesser Noddy</t>
  </si>
  <si>
    <t>Anous tenuirostris melanops</t>
  </si>
  <si>
    <t>Australian Lesser Noddy</t>
  </si>
  <si>
    <t>EN</t>
  </si>
  <si>
    <t>Anseranas semipalmata</t>
  </si>
  <si>
    <t>Magpie Goose</t>
  </si>
  <si>
    <t>Antaresia childreni</t>
  </si>
  <si>
    <t>Children's Python</t>
  </si>
  <si>
    <t>Antaresia perthensis</t>
  </si>
  <si>
    <t>Pygmy Python</t>
  </si>
  <si>
    <t>Antaresia stimsoni</t>
  </si>
  <si>
    <t>Stimson's Python</t>
  </si>
  <si>
    <t>Antaresia stimsoni orientalis</t>
  </si>
  <si>
    <t>Antaresia stimsoni stimsoni</t>
  </si>
  <si>
    <t>Antechinomys laniger</t>
  </si>
  <si>
    <t>Kultarr</t>
  </si>
  <si>
    <t>Antechinus flavipes</t>
  </si>
  <si>
    <t>Yellow-footed Antechinus</t>
  </si>
  <si>
    <t>Antechinus flavipes leucogaster</t>
  </si>
  <si>
    <t>Anthochaera carunculata</t>
  </si>
  <si>
    <t>Red Wattlebird</t>
  </si>
  <si>
    <t>Anthochaera lunulata</t>
  </si>
  <si>
    <t>Western Little Wattlebird</t>
  </si>
  <si>
    <t>Anthus australis</t>
  </si>
  <si>
    <t>Australian Pipit</t>
  </si>
  <si>
    <t>Anthus australis australis</t>
  </si>
  <si>
    <t>Anthus cervinus</t>
  </si>
  <si>
    <t>Red-throated Pipit</t>
  </si>
  <si>
    <t>Anthus gustavi</t>
  </si>
  <si>
    <t>Pechora Pipit</t>
  </si>
  <si>
    <t>Antichiropus DIP004</t>
  </si>
  <si>
    <t>Roy Hill Antichiropus millipede</t>
  </si>
  <si>
    <t>Antichiropus DIP005</t>
  </si>
  <si>
    <t>Abydos Antichiropus millipede</t>
  </si>
  <si>
    <t>Antichiropus DIP006</t>
  </si>
  <si>
    <t>Area C Antichiropus millipede</t>
  </si>
  <si>
    <t>Antichiropus DIP007</t>
  </si>
  <si>
    <t>Bond's Antichiropus millipede</t>
  </si>
  <si>
    <t>Antichiropus DIP008</t>
  </si>
  <si>
    <t>Flinders Antichiropus millipede</t>
  </si>
  <si>
    <t>Antichiropus DIP013</t>
  </si>
  <si>
    <t>Cloudbreak Antichiropus millipede</t>
  </si>
  <si>
    <t>Antichiropus DIP029</t>
  </si>
  <si>
    <t>Mt Bruce Antichiropus millipede</t>
  </si>
  <si>
    <t>Antipodogomphus hodgkini</t>
  </si>
  <si>
    <t>Pilbara dragonfly</t>
  </si>
  <si>
    <t>Aphelocephala leucopsis</t>
  </si>
  <si>
    <t>Southern Whiteface</t>
  </si>
  <si>
    <t>Aphelocephala leucopsis castaneiventris</t>
  </si>
  <si>
    <t>Aphelocephala leucopsis leucopsis</t>
  </si>
  <si>
    <t>Aphelocephala nigricincta</t>
  </si>
  <si>
    <t>Banded Whiteface</t>
  </si>
  <si>
    <t>Aprasia clairae</t>
  </si>
  <si>
    <t>Batavia Coast Worm Lizard</t>
  </si>
  <si>
    <t>Aprasia haroldi</t>
  </si>
  <si>
    <t>Shark Bay Worm-lizard</t>
  </si>
  <si>
    <t>Aprasia inaurita</t>
  </si>
  <si>
    <t>Red-tailed Worm-lizard</t>
  </si>
  <si>
    <t>Aprasia litorea</t>
  </si>
  <si>
    <t>Gnaraloo Worm Lizard</t>
  </si>
  <si>
    <t>Aprasia picturata</t>
  </si>
  <si>
    <t>Black-headed Worm-lizard</t>
  </si>
  <si>
    <t>Aprasia pulchella</t>
  </si>
  <si>
    <t>Granite Worm-lizard</t>
  </si>
  <si>
    <t>Aprasia repens</t>
  </si>
  <si>
    <t>Sand-plain Worm-lizard</t>
  </si>
  <si>
    <t>Aprasia rostrata</t>
  </si>
  <si>
    <t>Ningaloo worm-lizard</t>
  </si>
  <si>
    <t>Aprasia smithi</t>
  </si>
  <si>
    <t>Black-tipped Worm-lizard</t>
  </si>
  <si>
    <t>Aprasia striolata</t>
  </si>
  <si>
    <t>Lined Worm-lizard</t>
  </si>
  <si>
    <t>Aprosmictus erythropterus</t>
  </si>
  <si>
    <t>Red-winged Parrot</t>
  </si>
  <si>
    <t>Aptenodytes patagonicus</t>
  </si>
  <si>
    <t>King Penguin</t>
  </si>
  <si>
    <t>Aptenodytes patagonicus halli</t>
  </si>
  <si>
    <t>Apus nipalensis</t>
  </si>
  <si>
    <t>House Swift</t>
  </si>
  <si>
    <t>Apus pacificus</t>
  </si>
  <si>
    <t>Fork-tailed Swift</t>
  </si>
  <si>
    <t>Apus pacificus pacificus</t>
  </si>
  <si>
    <t>Aquila audax</t>
  </si>
  <si>
    <t>Wedge-tailed Eagle</t>
  </si>
  <si>
    <t>Arctocephalus forsteri</t>
  </si>
  <si>
    <t>New Zealand Fur Seal</t>
  </si>
  <si>
    <t>S</t>
  </si>
  <si>
    <t>Arctocephalus tropicalis</t>
  </si>
  <si>
    <t>Subantarctic fur-seal</t>
  </si>
  <si>
    <t>Ardea cinerea</t>
  </si>
  <si>
    <t>Grey Heron</t>
  </si>
  <si>
    <t>Ardea garzetta</t>
  </si>
  <si>
    <t>Little Egret</t>
  </si>
  <si>
    <t>Ardea garzetta nigripes</t>
  </si>
  <si>
    <t>Ardea ibis</t>
  </si>
  <si>
    <t>Cattle Egret</t>
  </si>
  <si>
    <t>Ardea ibis coromanda</t>
  </si>
  <si>
    <t>Ardea intermedia</t>
  </si>
  <si>
    <t>Intermediate Egret</t>
  </si>
  <si>
    <t>Ardea intermedia intermedia</t>
  </si>
  <si>
    <t>Ardea modesta</t>
  </si>
  <si>
    <t>great egret</t>
  </si>
  <si>
    <t>Ardea novaehollandiae</t>
  </si>
  <si>
    <t>White-faced Heron</t>
  </si>
  <si>
    <t>Ardea pacifica</t>
  </si>
  <si>
    <t>White-necked Heron</t>
  </si>
  <si>
    <t>Ardea picata</t>
  </si>
  <si>
    <t>Pied Heron</t>
  </si>
  <si>
    <t>Ardea sacra</t>
  </si>
  <si>
    <t>Eastern Reef Egret</t>
  </si>
  <si>
    <t>Ardea sacra sacra</t>
  </si>
  <si>
    <t>Ardea sumatrana</t>
  </si>
  <si>
    <t>Great-billed Heron</t>
  </si>
  <si>
    <t>Ardenna carneipes</t>
  </si>
  <si>
    <t>Flesh-footed Shearwater</t>
  </si>
  <si>
    <t>Ardenna grisea</t>
  </si>
  <si>
    <t>Sooty Shearwater</t>
  </si>
  <si>
    <t>Ardenna pacifica</t>
  </si>
  <si>
    <t>Wedge-tailed Shearwater</t>
  </si>
  <si>
    <t>Ardenna tenuirostris</t>
  </si>
  <si>
    <t>Short-tailed Shearwater</t>
  </si>
  <si>
    <t>Ardeola speciosa</t>
  </si>
  <si>
    <t>Javan Pond Heron</t>
  </si>
  <si>
    <t>Ardeotis australis</t>
  </si>
  <si>
    <t>Australian Bustard</t>
  </si>
  <si>
    <t>Arenaria interpres</t>
  </si>
  <si>
    <t>Ruddy Turnstone</t>
  </si>
  <si>
    <t>Arenaria interpres interpres</t>
  </si>
  <si>
    <t>Arenophryne rotunda</t>
  </si>
  <si>
    <t>Sandhill Frog</t>
  </si>
  <si>
    <t>Arenophryne xiphorhyncha</t>
  </si>
  <si>
    <t>Southern Sandhill Frog</t>
  </si>
  <si>
    <t>Artamus cinereus</t>
  </si>
  <si>
    <t>Black-faced Woodswallow</t>
  </si>
  <si>
    <t>Artamus cinereus melanops</t>
  </si>
  <si>
    <t>Artamus cyanopterus</t>
  </si>
  <si>
    <t>Dusky Woodswallow</t>
  </si>
  <si>
    <t>Artamus leucorynchus</t>
  </si>
  <si>
    <t>White-breasted Woodswallow</t>
  </si>
  <si>
    <t>Artamus leucorynchus leucopygialis</t>
  </si>
  <si>
    <t>Artamus minor</t>
  </si>
  <si>
    <t>Little Woodswallow</t>
  </si>
  <si>
    <t>Artamus personatus</t>
  </si>
  <si>
    <t>Masked Woodswallow</t>
  </si>
  <si>
    <t>Artamus superciliosus</t>
  </si>
  <si>
    <t>White-browed Woodswallow</t>
  </si>
  <si>
    <t>Aspidites melanocephalus</t>
  </si>
  <si>
    <t>Black-headed Python</t>
  </si>
  <si>
    <t>Aspidites ramsayi</t>
  </si>
  <si>
    <t>Woma</t>
  </si>
  <si>
    <t>Aspidites ramsayi (southwest subpop.)</t>
  </si>
  <si>
    <t>Woma (southwest subpop.)</t>
  </si>
  <si>
    <t>Atelomastix anancita</t>
  </si>
  <si>
    <t>Cape Arid atelomastix millipede</t>
  </si>
  <si>
    <t>Atelomastix brennani</t>
  </si>
  <si>
    <t>Brennan's atelomastix millipede</t>
  </si>
  <si>
    <t>Atelomastix culleni</t>
  </si>
  <si>
    <t>Cullen's atelomastix millipede</t>
  </si>
  <si>
    <t>Atelomastix danksi</t>
  </si>
  <si>
    <t>Toolbrunup Atelomastix millipede</t>
  </si>
  <si>
    <t>Atelomastix dendritica</t>
  </si>
  <si>
    <t>Recherche Atelomastix millipede</t>
  </si>
  <si>
    <t>Atelomastix flavognatha</t>
  </si>
  <si>
    <t>yellow jawed atelomastix millipede</t>
  </si>
  <si>
    <t>Atelomastix grandis</t>
  </si>
  <si>
    <t>Le Grand atelomastix millipede</t>
  </si>
  <si>
    <t>Atelomastix julianneae</t>
  </si>
  <si>
    <t>Waldock's atelomastix millipede</t>
  </si>
  <si>
    <t>Atelomastix lengae</t>
  </si>
  <si>
    <t>Leng's atelomastix millipede</t>
  </si>
  <si>
    <t>Atelomastix longbottomi</t>
  </si>
  <si>
    <t>Longbottom's atelomastix millipede</t>
  </si>
  <si>
    <t>Atelomastix melindae</t>
  </si>
  <si>
    <t>Moir's atelomastix millipede</t>
  </si>
  <si>
    <t>Atelomastix poustiei</t>
  </si>
  <si>
    <t>Wedge Hill Atelomastix millipede</t>
  </si>
  <si>
    <t>Atelomastix priona</t>
  </si>
  <si>
    <t>saw atelomastix millipede</t>
  </si>
  <si>
    <t>Atelomastix sarahae</t>
  </si>
  <si>
    <t>Comer's atelomastix millipede</t>
  </si>
  <si>
    <t>Atelomastix tigrina</t>
  </si>
  <si>
    <t>Striped Atelomastix millipede</t>
  </si>
  <si>
    <t>Atelomastix tumula</t>
  </si>
  <si>
    <t>Bluff Knoll Atelomastix millipede</t>
  </si>
  <si>
    <t>Atrichornis clamosus</t>
  </si>
  <si>
    <t>Noisy Scrub-bird</t>
  </si>
  <si>
    <t>Australotomurus morbidus</t>
  </si>
  <si>
    <t>cemetery springtail</t>
  </si>
  <si>
    <t>Austroassiminea letha</t>
  </si>
  <si>
    <t>Cape Leeuwin Freshwater Snail</t>
  </si>
  <si>
    <t>Austroconops annettae</t>
  </si>
  <si>
    <t>Annette's biting midge (Augusta-Margaret River)</t>
  </si>
  <si>
    <t>Austroconops mcmillani</t>
  </si>
  <si>
    <t>McMillan's biting midge (Swan Coastal Plain)</t>
  </si>
  <si>
    <t>Austromerope poultoni</t>
  </si>
  <si>
    <t>earwigfly (southwest)</t>
  </si>
  <si>
    <t>Austronomus australis</t>
  </si>
  <si>
    <t>White-striped Free-tailed Bat</t>
  </si>
  <si>
    <t>Austrosaga spinifer</t>
  </si>
  <si>
    <t>spiny katydid (Swan Coastal Plain)</t>
  </si>
  <si>
    <t>Aviceda subcristata</t>
  </si>
  <si>
    <t>Pacific Baza</t>
  </si>
  <si>
    <t>Aviceda subcristata subcristata</t>
  </si>
  <si>
    <t>Aythya australis</t>
  </si>
  <si>
    <t>Hardhead</t>
  </si>
  <si>
    <t>Balaenoptera acutorostrata</t>
  </si>
  <si>
    <t>Dwarf Minke Whale</t>
  </si>
  <si>
    <t>Balaenoptera bonaerensis</t>
  </si>
  <si>
    <t>Antarctic Minke Whale</t>
  </si>
  <si>
    <t>Balaenoptera borealis</t>
  </si>
  <si>
    <t>Sei Whale</t>
  </si>
  <si>
    <t>Balaenoptera borealis schlegelii</t>
  </si>
  <si>
    <t>Balaenoptera edeni</t>
  </si>
  <si>
    <t>Bryde's Whale</t>
  </si>
  <si>
    <t>Balaenoptera musculus</t>
  </si>
  <si>
    <t>Blue Whale</t>
  </si>
  <si>
    <t>Balaenoptera musculus brevicauda</t>
  </si>
  <si>
    <t>Pygmy Blue Whale</t>
  </si>
  <si>
    <t>Balaenoptera musculus intermedia</t>
  </si>
  <si>
    <t>Antarctic Blue Whale</t>
  </si>
  <si>
    <t>Balaenoptera omurai</t>
  </si>
  <si>
    <t>Omura's Whale</t>
  </si>
  <si>
    <t>Balaenoptera physalus</t>
  </si>
  <si>
    <t>Fin Whale</t>
  </si>
  <si>
    <t>Balaenoptera physalus quoyi</t>
  </si>
  <si>
    <t>Bamazomus subsolanus</t>
  </si>
  <si>
    <t>Eastern Cape Range Bamazomus</t>
  </si>
  <si>
    <t>Bamazomus vespertinus</t>
  </si>
  <si>
    <t>Western Cape Range Bamazomus</t>
  </si>
  <si>
    <t>Baudinella baudinensis</t>
  </si>
  <si>
    <t>Baudin Island camaenid land snail</t>
  </si>
  <si>
    <t>Berardius arnuxii</t>
  </si>
  <si>
    <t>Arnoux's Beaked Whale</t>
  </si>
  <si>
    <t>Bertmainius colonus</t>
  </si>
  <si>
    <t>Eastern Stirling Range pygmy trapdoor spider</t>
  </si>
  <si>
    <t>Bertmainius monachus</t>
  </si>
  <si>
    <t>Talyuberlup pygmy trapdoor spider</t>
  </si>
  <si>
    <t>Bertmainius mysticus</t>
  </si>
  <si>
    <t>mystical pygmy trapdoor spider</t>
  </si>
  <si>
    <t>Bertmainius opimus</t>
  </si>
  <si>
    <t>western pygmy trapdoor spider</t>
  </si>
  <si>
    <t>Bertmainius pandus</t>
  </si>
  <si>
    <t>Toolbrunup pygmy trapdoor spider</t>
  </si>
  <si>
    <t>Bertmainius tingle</t>
  </si>
  <si>
    <t>Tingle pygmy trapdoor spider</t>
  </si>
  <si>
    <t>Bertmainius tumidus</t>
  </si>
  <si>
    <t>thick-legged pygmy trapdoor spider</t>
  </si>
  <si>
    <t>Bettongia anhydra</t>
  </si>
  <si>
    <t>Desert Bettong</t>
  </si>
  <si>
    <t>EX</t>
  </si>
  <si>
    <t>Bettongia lesueur</t>
  </si>
  <si>
    <t>Burrowing Bettong</t>
  </si>
  <si>
    <t>Bettongia lesueur (Barrow and Boodie Islands)</t>
  </si>
  <si>
    <t>Boodie (Barrow and Boodie Islands)</t>
  </si>
  <si>
    <t>Bettongia lesueur graii</t>
  </si>
  <si>
    <t>Boodie (inland)</t>
  </si>
  <si>
    <t>Bettongia lesueur lesueur</t>
  </si>
  <si>
    <t>boodie (Shark Bay)</t>
  </si>
  <si>
    <t>Bettongia penicillata</t>
  </si>
  <si>
    <t>Woylie</t>
  </si>
  <si>
    <t>Bettongia penicillata ogilbyi</t>
  </si>
  <si>
    <t>Bettongia pusilla</t>
  </si>
  <si>
    <t>dwarf Nullabor bettong</t>
  </si>
  <si>
    <t>Biziura lobata</t>
  </si>
  <si>
    <t>Musk Duck</t>
  </si>
  <si>
    <t>Bogidomma australis</t>
  </si>
  <si>
    <t>Barrow Island Bogidomma Amphipod</t>
  </si>
  <si>
    <t>Boiga irregularis</t>
  </si>
  <si>
    <t>Brown Tree Snake</t>
  </si>
  <si>
    <t>Bos taurus</t>
  </si>
  <si>
    <t>European Cattle</t>
  </si>
  <si>
    <t>Botaurus poiciloptilus</t>
  </si>
  <si>
    <t>Australasian Bittern</t>
  </si>
  <si>
    <t>Bothriembryon bradshawi</t>
  </si>
  <si>
    <t>Bradshaw's bothriembryontid land snail (Tambellup)</t>
  </si>
  <si>
    <t>Bothriembryon brazieri</t>
  </si>
  <si>
    <t>Brazier's bothriembryontid land snail</t>
  </si>
  <si>
    <t>Bothriembryon bulla</t>
  </si>
  <si>
    <t>a bothriembryontid land snail (Swan Coastal Plain)</t>
  </si>
  <si>
    <t>Bothriembryon glauerti</t>
  </si>
  <si>
    <t>a bothriembryontid land snail (Stirling Ranges)</t>
  </si>
  <si>
    <t>Bothriembryon irvineanus</t>
  </si>
  <si>
    <t>Irvine's bothriembryontid land snail (Cape Naturaliste)</t>
  </si>
  <si>
    <t>Bothriembryon perobesus</t>
  </si>
  <si>
    <t>a bothriembryontid land snail (Moore River)</t>
  </si>
  <si>
    <t>Bothriembryon praecelsus</t>
  </si>
  <si>
    <t>a bothriembryontid land snail (Kellerberrin)</t>
  </si>
  <si>
    <t>Bothriembryon whitleyi</t>
  </si>
  <si>
    <t>Whitley's bothriembryontid land snail (Geraldton)</t>
  </si>
  <si>
    <t>Brachyurophis approximans</t>
  </si>
  <si>
    <t>North-western Shovel-nosed Snake</t>
  </si>
  <si>
    <t>Brachyurophis fasciolatus</t>
  </si>
  <si>
    <t>Narrow-banded Shovel-nosed Snake</t>
  </si>
  <si>
    <t>Brachyurophis fasciolatus fasciatus</t>
  </si>
  <si>
    <t>Brachyurophis fasciolatus fasciolatus</t>
  </si>
  <si>
    <t>Brachyurophis roperi</t>
  </si>
  <si>
    <t>Northern Shovel-nosed Snake</t>
  </si>
  <si>
    <t>Brachyurophis semifasciatus</t>
  </si>
  <si>
    <t>Southern Shovel-nosed Snake</t>
  </si>
  <si>
    <t>Branchinella apophysata</t>
  </si>
  <si>
    <t>fairy shrimp (Laverton)</t>
  </si>
  <si>
    <t>Branchinella basispina</t>
  </si>
  <si>
    <t>fairy shrimp (Balladonia-Norseman)</t>
  </si>
  <si>
    <t>Branchinella denticulata</t>
  </si>
  <si>
    <t>fairy shrimp (Carnarvon to Kalgoorlie)</t>
  </si>
  <si>
    <t>Branchinella simplex</t>
  </si>
  <si>
    <t>fairy shrimp (inland WA)</t>
  </si>
  <si>
    <t>Branchinella wellardi</t>
  </si>
  <si>
    <t>fairy shrimp (Carnavon and Murchison)</t>
  </si>
  <si>
    <t>Bubalus bubalis</t>
  </si>
  <si>
    <t>Water Buffalo</t>
  </si>
  <si>
    <t>Budginmaya eulae</t>
  </si>
  <si>
    <t>Eula's Planthopper</t>
  </si>
  <si>
    <t>Bulweria bulwerii</t>
  </si>
  <si>
    <t>Bulwer's Petrel</t>
  </si>
  <si>
    <t>Bulweria fallax</t>
  </si>
  <si>
    <t>Jouanin's Petrel</t>
  </si>
  <si>
    <t>Bunderia misophaga</t>
  </si>
  <si>
    <t>a copepod (Bundera Sinkhole)</t>
  </si>
  <si>
    <t>Burhinus grallarius</t>
  </si>
  <si>
    <t>Bush Stone-curlew</t>
  </si>
  <si>
    <t>Butorides striata</t>
  </si>
  <si>
    <t>Striated Heron</t>
  </si>
  <si>
    <t>Butorides striata stagnatilis</t>
  </si>
  <si>
    <t>Cacatua galerita</t>
  </si>
  <si>
    <t>Sulphur-crested Cockatoo</t>
  </si>
  <si>
    <t>Cacatua galerita fitzroyi</t>
  </si>
  <si>
    <t>Cacatua galerita galerita</t>
  </si>
  <si>
    <t>Cacatua leadbeateri</t>
  </si>
  <si>
    <t>Major Mitchell's Cockatoo</t>
  </si>
  <si>
    <t>Cacatua pastinator</t>
  </si>
  <si>
    <t>Western Long-billed Corella</t>
  </si>
  <si>
    <t>Cacatua pastinator butleri</t>
  </si>
  <si>
    <t>Butler's Corella</t>
  </si>
  <si>
    <t>Cacatua pastinator pastinator</t>
  </si>
  <si>
    <t>Muir's Corella</t>
  </si>
  <si>
    <t>Cacatua roseicapilla</t>
  </si>
  <si>
    <t>Galah</t>
  </si>
  <si>
    <t>Cacatua roseicapilla assimilis</t>
  </si>
  <si>
    <t>Cacatua roseicapilla roseicapilla</t>
  </si>
  <si>
    <t>Cacatua sanguinea</t>
  </si>
  <si>
    <t>Little Corella</t>
  </si>
  <si>
    <t>Cacatua sanguinea sanguinea</t>
  </si>
  <si>
    <t>Cacatua sanguinea westralensis</t>
  </si>
  <si>
    <t>Cacatua tenuirostris</t>
  </si>
  <si>
    <t>Eastern Long-billed Corella</t>
  </si>
  <si>
    <t>Cacomantis flabelliformis</t>
  </si>
  <si>
    <t>Fan-tailed Cuckoo</t>
  </si>
  <si>
    <t>Cacomantis flabelliformis flabelliformis</t>
  </si>
  <si>
    <t>Cacomantis pallidus</t>
  </si>
  <si>
    <t>Pallid Cuckoo</t>
  </si>
  <si>
    <t>Cacomantis variolosus</t>
  </si>
  <si>
    <t>Brush Cuckoo</t>
  </si>
  <si>
    <t>Cacomantis variolosus variolosus</t>
  </si>
  <si>
    <t>Calamanthus campestris</t>
  </si>
  <si>
    <t>Rufous Fieldwren</t>
  </si>
  <si>
    <t>Calamanthus campestris dorrie</t>
  </si>
  <si>
    <t>Dorres Island rufous fieldwren</t>
  </si>
  <si>
    <t>Calamanthus campestris hartogi</t>
  </si>
  <si>
    <t>Dirk Hartog Island rufous fieldwren</t>
  </si>
  <si>
    <t>Calamanthus campestris montanellus</t>
  </si>
  <si>
    <t>Calamoecia elongata</t>
  </si>
  <si>
    <t>copepod (Northcliffe)</t>
  </si>
  <si>
    <t>Calidris acuminata</t>
  </si>
  <si>
    <t>Sharp-tailed Sandpiper</t>
  </si>
  <si>
    <t>Calidris alba</t>
  </si>
  <si>
    <t>Sanderling</t>
  </si>
  <si>
    <t>Calidris alpina</t>
  </si>
  <si>
    <t>Dunlin</t>
  </si>
  <si>
    <t>Calidris alpina sakhalina</t>
  </si>
  <si>
    <t>Calidris bairdii</t>
  </si>
  <si>
    <t>Baird's Sandpiper</t>
  </si>
  <si>
    <t>Calidris canutus</t>
  </si>
  <si>
    <t>Red Knot</t>
  </si>
  <si>
    <t>Calidris canutus piersmai</t>
  </si>
  <si>
    <t>Red Knot (New Siberian Islands)</t>
  </si>
  <si>
    <t>Calidris canutus rogersi</t>
  </si>
  <si>
    <t>Red Knot (north-eastern Siberia)</t>
  </si>
  <si>
    <t>Calidris ferruginea</t>
  </si>
  <si>
    <t>Curlew Sandpiper</t>
  </si>
  <si>
    <t>Calidris fuscicollis</t>
  </si>
  <si>
    <t>White-rumped Sandpiper</t>
  </si>
  <si>
    <t>Calidris melanotos</t>
  </si>
  <si>
    <t>Pectoral Sandpiper</t>
  </si>
  <si>
    <t>Calidris minuta</t>
  </si>
  <si>
    <t>Little Stint</t>
  </si>
  <si>
    <t>Calidris ruficollis</t>
  </si>
  <si>
    <t>Red-necked Stint</t>
  </si>
  <si>
    <t>Calidris subminuta</t>
  </si>
  <si>
    <t>Long-toed Stint</t>
  </si>
  <si>
    <t>Calidris tenuirostris</t>
  </si>
  <si>
    <t>Great Knot</t>
  </si>
  <si>
    <t>Caloenas nicobarica</t>
  </si>
  <si>
    <t>Nicobar Pigeon</t>
  </si>
  <si>
    <t>Calonectris leucomelas</t>
  </si>
  <si>
    <t>Streaked Shearwater</t>
  </si>
  <si>
    <t>Calyptorhynchus banksii</t>
  </si>
  <si>
    <t>Red-tailed Black-Cockatoo</t>
  </si>
  <si>
    <t>Calyptorhynchus banksii macrorhynchus</t>
  </si>
  <si>
    <t>Northern Red-tailed Black-Cockatoo</t>
  </si>
  <si>
    <t>Calyptorhynchus banksii naso</t>
  </si>
  <si>
    <t>Forest Red-tailed Black Cockatoo</t>
  </si>
  <si>
    <t>Calyptorhynchus banksii samueli</t>
  </si>
  <si>
    <t>Calyptorhynchus baudinii</t>
  </si>
  <si>
    <t>Baudin's Cockatoo</t>
  </si>
  <si>
    <t>Calyptorhynchus latirostris</t>
  </si>
  <si>
    <t>Carnaby's Cockatoo</t>
  </si>
  <si>
    <t>Calyptorhynchus sp.</t>
  </si>
  <si>
    <t>white-tailed black cockatoo</t>
  </si>
  <si>
    <t>Camelus dromedarius</t>
  </si>
  <si>
    <t>Dromedary</t>
  </si>
  <si>
    <t>Canis familiaris</t>
  </si>
  <si>
    <t>Dog</t>
  </si>
  <si>
    <t>Caperea marginata</t>
  </si>
  <si>
    <t>Pygmy Right Whale</t>
  </si>
  <si>
    <t>Capra hircus</t>
  </si>
  <si>
    <t>Goat</t>
  </si>
  <si>
    <t>Caprimulgus affinis</t>
  </si>
  <si>
    <t>Savanna Nightjar</t>
  </si>
  <si>
    <t>Caprimulgus indicus</t>
  </si>
  <si>
    <t>Grey Nightjar</t>
  </si>
  <si>
    <t>Caprimulgus jotaka</t>
  </si>
  <si>
    <t>Carcharias taurus</t>
  </si>
  <si>
    <t>Grey Nurse Shark</t>
  </si>
  <si>
    <t>Carcharodon carcharias</t>
  </si>
  <si>
    <t>Great White Shark</t>
  </si>
  <si>
    <t>Carduelis carduelis</t>
  </si>
  <si>
    <t>Goldfinch</t>
  </si>
  <si>
    <t>Carduelis carduelis britannica</t>
  </si>
  <si>
    <t>Caretta caretta</t>
  </si>
  <si>
    <t>Loggerhead Turtle</t>
  </si>
  <si>
    <t>Carinotrachia carsoniana</t>
  </si>
  <si>
    <t>Carson River camaenid land snail</t>
  </si>
  <si>
    <t>Carlia amax</t>
  </si>
  <si>
    <t>Two-spined Rainbow Skink</t>
  </si>
  <si>
    <t>Carlia gracilis</t>
  </si>
  <si>
    <t>Slender Rainbow Skink</t>
  </si>
  <si>
    <t>Carlia johnstonei</t>
  </si>
  <si>
    <t>Rough Brown Rainbow Skink</t>
  </si>
  <si>
    <t>Carlia munda</t>
  </si>
  <si>
    <t>Shaded-litter Rainbow Skink</t>
  </si>
  <si>
    <t>Carlia rufilatus</t>
  </si>
  <si>
    <t>Red-sided Rainbow Skink</t>
  </si>
  <si>
    <t>Carlia triacantha</t>
  </si>
  <si>
    <t>Desert Rainbow Skink</t>
  </si>
  <si>
    <t>Cecropis daurica</t>
  </si>
  <si>
    <t>Red-rumped Swallow</t>
  </si>
  <si>
    <t>Cecropis daurica japonica</t>
  </si>
  <si>
    <t>Centropus bengalensis</t>
  </si>
  <si>
    <t>Lesser Coucal</t>
  </si>
  <si>
    <t>Centropus bengalensis javanensis</t>
  </si>
  <si>
    <t>Centropus phasianinus</t>
  </si>
  <si>
    <t>Pheasant Coucal</t>
  </si>
  <si>
    <t>Centropus phasianinus highami</t>
  </si>
  <si>
    <t>Centropus phasianinus phasianinus</t>
  </si>
  <si>
    <t>Cerberus australis</t>
  </si>
  <si>
    <t>Australian Bockadam</t>
  </si>
  <si>
    <t>Cercartetus concinnus</t>
  </si>
  <si>
    <t>Western Pygmy-possum</t>
  </si>
  <si>
    <t>Cereopsis novaehollandiae</t>
  </si>
  <si>
    <t>Cape Barren Goose</t>
  </si>
  <si>
    <t>Cereopsis novaehollandiae grisea</t>
  </si>
  <si>
    <t>Recherche Cape Barren Goose</t>
  </si>
  <si>
    <t>Certhionyx variegatus</t>
  </si>
  <si>
    <t>Pied Honeyeater</t>
  </si>
  <si>
    <t>Cervus elaphus</t>
  </si>
  <si>
    <t>Red Deer</t>
  </si>
  <si>
    <t>Ceyx azureus</t>
  </si>
  <si>
    <t>Azure Kingfisher</t>
  </si>
  <si>
    <t>Ceyx azureus ruficollaris</t>
  </si>
  <si>
    <t>Chaerephon jobensis</t>
  </si>
  <si>
    <t>Greater Northern Freetail-bat</t>
  </si>
  <si>
    <t>Chaerephon jobensis colonicus</t>
  </si>
  <si>
    <t>Greater Northern Free-tailed Bat</t>
  </si>
  <si>
    <t>Chaeropus ecaudatus</t>
  </si>
  <si>
    <t>Pig-footed Bandicoot</t>
  </si>
  <si>
    <t>Chalcophaps indica</t>
  </si>
  <si>
    <t>Emerald Dove</t>
  </si>
  <si>
    <t>Chalcophaps indica longirostris</t>
  </si>
  <si>
    <t>Chalinolobus gouldii</t>
  </si>
  <si>
    <t>Gould's Wattled Bat</t>
  </si>
  <si>
    <t>Chalinolobus morio</t>
  </si>
  <si>
    <t>Chocolate Wattled Bat</t>
  </si>
  <si>
    <t>Chalinolobus nigrogriseus</t>
  </si>
  <si>
    <t>Hoary Wattled Bat</t>
  </si>
  <si>
    <t>Charadrius alexandrinus</t>
  </si>
  <si>
    <t>Kentish Plover</t>
  </si>
  <si>
    <t>Charadrius alexandrinus [dealbatus]</t>
  </si>
  <si>
    <t>Charadrius bicinctus</t>
  </si>
  <si>
    <t>Double-banded Plover</t>
  </si>
  <si>
    <t>Charadrius bicinctus bicinctus</t>
  </si>
  <si>
    <t>Charadrius dubius</t>
  </si>
  <si>
    <t>Little Ringed Plover</t>
  </si>
  <si>
    <t>Charadrius dubius curonicus</t>
  </si>
  <si>
    <t>Charadrius hiaticula</t>
  </si>
  <si>
    <t>Common Ringed Plover</t>
  </si>
  <si>
    <t>Charadrius leschenaultii</t>
  </si>
  <si>
    <t>Greater Sand Plover</t>
  </si>
  <si>
    <t>Charadrius leschenaultii leschenaultii</t>
  </si>
  <si>
    <t>Greater Sand Plover (Mongolian)</t>
  </si>
  <si>
    <t>Charadrius mongolus</t>
  </si>
  <si>
    <t>Lesser Sand Plover</t>
  </si>
  <si>
    <t>Charadrius mongolus atrifrons</t>
  </si>
  <si>
    <t>Charadrius mongolus mongolus</t>
  </si>
  <si>
    <t>Charadrius ruficapillus</t>
  </si>
  <si>
    <t>Red-capped Plover</t>
  </si>
  <si>
    <t>Charadrius veredus</t>
  </si>
  <si>
    <t>Oriental Plover</t>
  </si>
  <si>
    <t>Chelodina burrungandjii</t>
  </si>
  <si>
    <t>Northern Long-necked Turtle</t>
  </si>
  <si>
    <t>Chelodina colliei</t>
  </si>
  <si>
    <t>South-western Snake-necked Turtle</t>
  </si>
  <si>
    <t>Chelodina oblonga (northern)</t>
  </si>
  <si>
    <t>Northern Snake-necked Turtle</t>
  </si>
  <si>
    <t>Chelodina steindachneri</t>
  </si>
  <si>
    <t>Flat-shelled Turtle</t>
  </si>
  <si>
    <t>Chelonia mydas</t>
  </si>
  <si>
    <t>Green Turtle</t>
  </si>
  <si>
    <t>Chelosania brunnea</t>
  </si>
  <si>
    <t>Chameleon Dragon</t>
  </si>
  <si>
    <t>Chenonetta jubata</t>
  </si>
  <si>
    <t>Australian Wood Duck</t>
  </si>
  <si>
    <t>Cheramoeca leucosterna</t>
  </si>
  <si>
    <t>White-backed Swallow</t>
  </si>
  <si>
    <t>Cherax cainii</t>
  </si>
  <si>
    <t>Marron</t>
  </si>
  <si>
    <t>Cherax preissii</t>
  </si>
  <si>
    <t>Koonac</t>
  </si>
  <si>
    <t>Cherax tenuimanus</t>
  </si>
  <si>
    <t>Margaret River hairy marron</t>
  </si>
  <si>
    <t>Chlamydosaurus kingii</t>
  </si>
  <si>
    <t>Frill-necked Lizard</t>
  </si>
  <si>
    <t>Chlidonias leucopterus</t>
  </si>
  <si>
    <t>White-winged Black Tern</t>
  </si>
  <si>
    <t>Christinus alexanderi</t>
  </si>
  <si>
    <t>Southern Gecko</t>
  </si>
  <si>
    <t>Christinus marmoratus</t>
  </si>
  <si>
    <t>Marbled Gecko</t>
  </si>
  <si>
    <t>Christinus sp. 'Cape Le Grand'</t>
  </si>
  <si>
    <t>Cape Le Grand gecko</t>
  </si>
  <si>
    <t>Chrysococcyx basalis</t>
  </si>
  <si>
    <t>Horsfield's Bronze Cuckoo</t>
  </si>
  <si>
    <t>Chrysococcyx lucidus</t>
  </si>
  <si>
    <t>Shining Bronze Cuckoo</t>
  </si>
  <si>
    <t>Chrysococcyx lucidus plagosus</t>
  </si>
  <si>
    <t>Chrysococcyx minutillus</t>
  </si>
  <si>
    <t>Little Bronze Cuckoo</t>
  </si>
  <si>
    <t>Chrysococcyx minutillus minutillus</t>
  </si>
  <si>
    <t>Chrysococcyx osculans</t>
  </si>
  <si>
    <t>Black-eared Cuckoo</t>
  </si>
  <si>
    <t>Cinclosoma alisteri</t>
  </si>
  <si>
    <t>Nullabor Quail-thrush</t>
  </si>
  <si>
    <t>Cinclosoma castaneothorax</t>
  </si>
  <si>
    <t>Chestnut-breasted Quail-thrush</t>
  </si>
  <si>
    <t>Cinclosoma clarum</t>
  </si>
  <si>
    <t>Western Chestnut Quail-thrush</t>
  </si>
  <si>
    <t>Cinclosoma marginatum</t>
  </si>
  <si>
    <t>Western Quail-thrush</t>
  </si>
  <si>
    <t>Circus approximans</t>
  </si>
  <si>
    <t>Swamp Harrier</t>
  </si>
  <si>
    <t>Circus assimilis</t>
  </si>
  <si>
    <t>Spotted Harrier</t>
  </si>
  <si>
    <t>Cissomela pectoralis</t>
  </si>
  <si>
    <t>Banded Honeyeater</t>
  </si>
  <si>
    <t>Cisticola exilis</t>
  </si>
  <si>
    <t>Golden-headed Cisticola</t>
  </si>
  <si>
    <t>Cisticola exilis exilis</t>
  </si>
  <si>
    <t>Cisticola exilis lineocapilla</t>
  </si>
  <si>
    <t>Cisticola juncidis</t>
  </si>
  <si>
    <t>Zitting Cisticola</t>
  </si>
  <si>
    <t>Cisticola juncidis fuscicapilla</t>
  </si>
  <si>
    <t>Cladorhynchus leucocephalus</t>
  </si>
  <si>
    <t>Banded Stilt</t>
  </si>
  <si>
    <t>Climacteris affinis</t>
  </si>
  <si>
    <t>White-browed Treecreeper</t>
  </si>
  <si>
    <t>Climacteris affinis superciliosa</t>
  </si>
  <si>
    <t>Climacteris melanurus</t>
  </si>
  <si>
    <t>Black-tailed Treecreeper</t>
  </si>
  <si>
    <t>Climacteris melanurus melanurus</t>
  </si>
  <si>
    <t>Climacteris melanurus wellsi</t>
  </si>
  <si>
    <t>Climacteris rufus</t>
  </si>
  <si>
    <t>Colluricincla harmonica</t>
  </si>
  <si>
    <t>Grey Shrike-thrush</t>
  </si>
  <si>
    <t>Colluricincla harmonica brunnea</t>
  </si>
  <si>
    <t>Colluricincla harmonica kolichisi</t>
  </si>
  <si>
    <t>Colluricincla harmonica rufiventris</t>
  </si>
  <si>
    <t>Colluricincla megarhyncha</t>
  </si>
  <si>
    <t>Little Shrike-thrush</t>
  </si>
  <si>
    <t>Colluricincla megarhyncha parvula</t>
  </si>
  <si>
    <t>Colluricincla woodwardi</t>
  </si>
  <si>
    <t>Sandstone Shrike-thrush</t>
  </si>
  <si>
    <t>Columba livia</t>
  </si>
  <si>
    <t>Domestic Pigeon</t>
  </si>
  <si>
    <t>Conilurus penicillatus</t>
  </si>
  <si>
    <t>Brush-tailed Rabbit-rat</t>
  </si>
  <si>
    <t>Conilurus penicillatus penicillatus</t>
  </si>
  <si>
    <t>Conopophila rufogularis</t>
  </si>
  <si>
    <t>Rufous-throated Honeyeater</t>
  </si>
  <si>
    <t>Coracina maxima</t>
  </si>
  <si>
    <t>Ground Cuckoo-shrike</t>
  </si>
  <si>
    <t>Coracina novaehollandiae</t>
  </si>
  <si>
    <t>Black-faced Cuckoo-shrike</t>
  </si>
  <si>
    <t>Coracina novaehollandiae melanops</t>
  </si>
  <si>
    <t>Coracina novaehollandiae novaehollandiae</t>
  </si>
  <si>
    <t>Coracina novaehollandiae subpallida</t>
  </si>
  <si>
    <t>Coracina papuensis</t>
  </si>
  <si>
    <t>White-bellied Cuckoo-shrike</t>
  </si>
  <si>
    <t>Coracina papuensis hypoleuca</t>
  </si>
  <si>
    <t>White-breasted Cuckoo-shrike</t>
  </si>
  <si>
    <t>Coracina tenuirostris</t>
  </si>
  <si>
    <t>Cicadabird</t>
  </si>
  <si>
    <t>Coracina tenuirostris melvillensis</t>
  </si>
  <si>
    <t>Corvus bennetti</t>
  </si>
  <si>
    <t>Little Crow</t>
  </si>
  <si>
    <t>Corvus coronoides</t>
  </si>
  <si>
    <t>Australian Raven</t>
  </si>
  <si>
    <t>Corvus coronoides perplexus</t>
  </si>
  <si>
    <t>Corvus orru</t>
  </si>
  <si>
    <t>Torresian Crow</t>
  </si>
  <si>
    <t>Corvus orru cecilae</t>
  </si>
  <si>
    <t>Western Crow</t>
  </si>
  <si>
    <t>Corvus splendens</t>
  </si>
  <si>
    <t>House Crow</t>
  </si>
  <si>
    <t>Coturnix pectoralis</t>
  </si>
  <si>
    <t>Stubble Quail</t>
  </si>
  <si>
    <t>Coturnix ypsilophora</t>
  </si>
  <si>
    <t>Brown Quail</t>
  </si>
  <si>
    <t>Coturnix ypsilophora australis</t>
  </si>
  <si>
    <t>Coturnix ypsilophora cervina</t>
  </si>
  <si>
    <t>Cracticus argenteus</t>
  </si>
  <si>
    <t>Silver-backed Butcherbird</t>
  </si>
  <si>
    <t>Cracticus argenteus latens</t>
  </si>
  <si>
    <t>Cracticus nigrogularis</t>
  </si>
  <si>
    <t>Pied Butcherbird</t>
  </si>
  <si>
    <t>Cracticus quoyi</t>
  </si>
  <si>
    <t>Black Butcherbird</t>
  </si>
  <si>
    <t>Cracticus quoyi spaldingi</t>
  </si>
  <si>
    <t>Cracticus tibicen</t>
  </si>
  <si>
    <t>Australian Magpie</t>
  </si>
  <si>
    <t>Cracticus tibicen dorsalis</t>
  </si>
  <si>
    <t>White-backed Magpie</t>
  </si>
  <si>
    <t>Cracticus tibicen tibicen</t>
  </si>
  <si>
    <t>Black-backed Magpie</t>
  </si>
  <si>
    <t>Cracticus torquatus</t>
  </si>
  <si>
    <t>Grey Butcherbird</t>
  </si>
  <si>
    <t>Cracticus torquatus torquatus</t>
  </si>
  <si>
    <t>Craterocephalus helenae</t>
  </si>
  <si>
    <t>Drysdale Hardyhead</t>
  </si>
  <si>
    <t>Craterocephalus lentiginosus</t>
  </si>
  <si>
    <t>Prince Regent Hardyhead</t>
  </si>
  <si>
    <t>Crenadactylus ocellatus</t>
  </si>
  <si>
    <t>Clawless Gecko</t>
  </si>
  <si>
    <t>Crenadactylus ocellatus horni</t>
  </si>
  <si>
    <t>Crenadactylus ocellatus naso</t>
  </si>
  <si>
    <t>Crenadactylus ocellatus ocellatus</t>
  </si>
  <si>
    <t>Crenadactylus ocellatus rostralis</t>
  </si>
  <si>
    <t>Crex crex</t>
  </si>
  <si>
    <t>Corncrake</t>
  </si>
  <si>
    <t>Crinia bilingua</t>
  </si>
  <si>
    <t>Bilingual Froglet</t>
  </si>
  <si>
    <t>Crinia deserticola</t>
  </si>
  <si>
    <t>Chirping Froglet</t>
  </si>
  <si>
    <t>Crinia fimbriata</t>
  </si>
  <si>
    <t>Kimberley Froglet</t>
  </si>
  <si>
    <t>Crinia georgiana</t>
  </si>
  <si>
    <t>Quacking Frog</t>
  </si>
  <si>
    <t>Crinia glauerti</t>
  </si>
  <si>
    <t>Clicking Frog</t>
  </si>
  <si>
    <t>Crinia insignifera</t>
  </si>
  <si>
    <t>Squelching Froglet</t>
  </si>
  <si>
    <t>Crinia pseudinsignifera</t>
  </si>
  <si>
    <t>Bleating Froglet</t>
  </si>
  <si>
    <t>Crinia subinsignifera</t>
  </si>
  <si>
    <t>South Coast Froglet</t>
  </si>
  <si>
    <t>Cristilabrum bubulum</t>
  </si>
  <si>
    <t>a camenid land snail (Ningbing Ranges)</t>
  </si>
  <si>
    <t>Cristilabrum buryillum</t>
  </si>
  <si>
    <t>Buryill Point camenid land snail (Ningbing Ranges)</t>
  </si>
  <si>
    <t>Cristilabrum grossum</t>
  </si>
  <si>
    <t>Cristilabrum isolatum</t>
  </si>
  <si>
    <t>a camenid land snail (Sandy Creek)</t>
  </si>
  <si>
    <t>Cristilabrum monodon</t>
  </si>
  <si>
    <t>Cristilabrum primum</t>
  </si>
  <si>
    <t>Cristilabrum rectum</t>
  </si>
  <si>
    <t>a camenid land snail (central Ningbing Ranges)</t>
  </si>
  <si>
    <t>Cristilabrum simplex</t>
  </si>
  <si>
    <t>Cristilabrum solitudum</t>
  </si>
  <si>
    <t>Cristilabrum spectaculum</t>
  </si>
  <si>
    <t>a camenid land snail (Jeremiah Hills)</t>
  </si>
  <si>
    <t>Crocodylus johnstoni</t>
  </si>
  <si>
    <t>Australian freshwater crocodile</t>
  </si>
  <si>
    <t>Crocodylus porosus</t>
  </si>
  <si>
    <t>Salt-water Crocodile</t>
  </si>
  <si>
    <t>Cryptagama aurita</t>
  </si>
  <si>
    <t>Gravel Dragon</t>
  </si>
  <si>
    <t>Cryptoblepharus australis</t>
  </si>
  <si>
    <t>Cryptoblepharus buchananii</t>
  </si>
  <si>
    <t>Cryptoblepharus exochus</t>
  </si>
  <si>
    <t>Cryptoblepharus juno</t>
  </si>
  <si>
    <t>Cryptoblepharus megastictus</t>
  </si>
  <si>
    <t>Cryptoblepharus metallicus</t>
  </si>
  <si>
    <t>Cryptoblepharus plagiocephalus</t>
  </si>
  <si>
    <t>Cryptoblepharus pulcher</t>
  </si>
  <si>
    <t>Cryptoblepharus pulcher clarus</t>
  </si>
  <si>
    <t>Cryptoblepharus ruber</t>
  </si>
  <si>
    <t>Cryptoblepharus tytthos</t>
  </si>
  <si>
    <t>Cryptoblepharus ustulatus</t>
  </si>
  <si>
    <t>Cryptophis pallidiceps</t>
  </si>
  <si>
    <t>Northern Small-eyed Snake</t>
  </si>
  <si>
    <t>Ctenophorus adelaidensis</t>
  </si>
  <si>
    <t>Southern Heath Dragon</t>
  </si>
  <si>
    <t>Ctenophorus butlerorum</t>
  </si>
  <si>
    <t>Shark Bay Heath Dragon</t>
  </si>
  <si>
    <t>Ctenophorus caudicinctus</t>
  </si>
  <si>
    <t>Ring-tailed Dragon</t>
  </si>
  <si>
    <t>Ctenophorus caudicinctus caudicinctus</t>
  </si>
  <si>
    <t>Ctenophorus caudicinctus graafi</t>
  </si>
  <si>
    <t>Ctenophorus caudicinctus infans</t>
  </si>
  <si>
    <t>Ctenophorus caudicinctus macropus</t>
  </si>
  <si>
    <t>Ctenophorus caudicinctus mensarum</t>
  </si>
  <si>
    <t>Ctenophorus chapmani</t>
  </si>
  <si>
    <t>Eastern Heath Dragon</t>
  </si>
  <si>
    <t>Ctenophorus clayi</t>
  </si>
  <si>
    <t>Collared Dragon</t>
  </si>
  <si>
    <t>Ctenophorus cristatus</t>
  </si>
  <si>
    <t>Bicycle Dragon</t>
  </si>
  <si>
    <t>Ctenophorus femoralis</t>
  </si>
  <si>
    <t>Dune Dragon</t>
  </si>
  <si>
    <t>Ctenophorus fordi</t>
  </si>
  <si>
    <t>Mallee Sand Dragon</t>
  </si>
  <si>
    <t>Ctenophorus isolepis</t>
  </si>
  <si>
    <t>Crested Dragon</t>
  </si>
  <si>
    <t>Ctenophorus isolepis citrinus</t>
  </si>
  <si>
    <t>Yellowy Military Dragon</t>
  </si>
  <si>
    <t>Ctenophorus isolepis gularis</t>
  </si>
  <si>
    <t>Central Military Dragon</t>
  </si>
  <si>
    <t>Ctenophorus isolepis isolepis</t>
  </si>
  <si>
    <t>Ctenophorus maculatus</t>
  </si>
  <si>
    <t>Spotted Military Dragon</t>
  </si>
  <si>
    <t>Ctenophorus maculatus badius</t>
  </si>
  <si>
    <t>Ctenophorus maculatus dualis</t>
  </si>
  <si>
    <t>Ctenophorus maculatus griseus</t>
  </si>
  <si>
    <t>Ctenophorus maculatus maculatus</t>
  </si>
  <si>
    <t>Ctenophorus mckenziei</t>
  </si>
  <si>
    <t>Dwarf Bicycle Dragon</t>
  </si>
  <si>
    <t>Ctenophorus nguyarna</t>
  </si>
  <si>
    <t>Lake Disappointment Dragon</t>
  </si>
  <si>
    <t>Ctenophorus nuchalis</t>
  </si>
  <si>
    <t>Central Netted Dragon</t>
  </si>
  <si>
    <t>Ctenophorus ornatus</t>
  </si>
  <si>
    <t>Ornate Crevice-Dragon</t>
  </si>
  <si>
    <t>Ctenophorus parviceps</t>
  </si>
  <si>
    <t>Western Heath Dragon</t>
  </si>
  <si>
    <t>Ctenophorus pictus</t>
  </si>
  <si>
    <t>Painted Dragon</t>
  </si>
  <si>
    <t>Ctenophorus reticulatus</t>
  </si>
  <si>
    <t>Western Netted Dragon</t>
  </si>
  <si>
    <t>Ctenophorus rubens</t>
  </si>
  <si>
    <t>Red Dragon</t>
  </si>
  <si>
    <t>Ctenophorus rufescens</t>
  </si>
  <si>
    <t>Red Rock Dragon</t>
  </si>
  <si>
    <t>Ctenophorus salinarum</t>
  </si>
  <si>
    <t>Salt Pan Dragon</t>
  </si>
  <si>
    <t>Ctenophorus scutulatus</t>
  </si>
  <si>
    <t>Lozenge-marked Dragon</t>
  </si>
  <si>
    <t>Ctenophorus yinnietharra</t>
  </si>
  <si>
    <t>Yinnietharra Rock Dragon</t>
  </si>
  <si>
    <t>Ctenotus alacer</t>
  </si>
  <si>
    <t>Ctenotus alleni</t>
  </si>
  <si>
    <t>Ctenotus angusticeps</t>
  </si>
  <si>
    <t>Airlie Island Ctenotus</t>
  </si>
  <si>
    <t>Ctenotus ariadnae</t>
  </si>
  <si>
    <t>Ctenotus atlas</t>
  </si>
  <si>
    <t>Ctenotus australis</t>
  </si>
  <si>
    <t>Ctenotus brooksi</t>
  </si>
  <si>
    <t>Ctenotus burbidgei</t>
  </si>
  <si>
    <t>Ctenotus calurus</t>
  </si>
  <si>
    <t>Ctenotus catenifer</t>
  </si>
  <si>
    <t>Ctenotus colletti</t>
  </si>
  <si>
    <t>Ctenotus decaneurus</t>
  </si>
  <si>
    <t>Ctenotus decaneurus decaneurus</t>
  </si>
  <si>
    <t>Ten-lined Ctenotus</t>
  </si>
  <si>
    <t>Ctenotus decaneurus yampiensis</t>
  </si>
  <si>
    <t>Yampi Ctenotus</t>
  </si>
  <si>
    <t>Ctenotus delli</t>
  </si>
  <si>
    <t>Dell's skink</t>
  </si>
  <si>
    <t>Ctenotus duricola</t>
  </si>
  <si>
    <t>Ctenotus dux</t>
  </si>
  <si>
    <t>Ctenotus ehmanni</t>
  </si>
  <si>
    <t>Ctenotus euclae</t>
  </si>
  <si>
    <t>Ctenotus fallens</t>
  </si>
  <si>
    <t>Ctenotus gemmula</t>
  </si>
  <si>
    <t>Jewelled South-west Ctenotus (Swan Coastal Plain subpop P3)</t>
  </si>
  <si>
    <t>Ctenotus gemmula (Swan Coastal Plain subpop.)</t>
  </si>
  <si>
    <t>jewelled southwest Ctenotus (Swan Coastal Plain subpop.)</t>
  </si>
  <si>
    <t>Ctenotus gemmula Swan Coastal Plain population</t>
  </si>
  <si>
    <t>Jewelled South-west Ctenotus (Swan Coastal Plain pop P3)</t>
  </si>
  <si>
    <t>Ctenotus grandis</t>
  </si>
  <si>
    <t>Ctenotus grandis grandis</t>
  </si>
  <si>
    <t>Ctenotus grandis titan</t>
  </si>
  <si>
    <t>Ctenotus greeri</t>
  </si>
  <si>
    <t>Ctenotus halysis</t>
  </si>
  <si>
    <t>Chained Ctenotus</t>
  </si>
  <si>
    <t>Ctenotus hanloni</t>
  </si>
  <si>
    <t>Ctenotus helenae</t>
  </si>
  <si>
    <t>Ctenotus iapetus</t>
  </si>
  <si>
    <t>Ctenotus impar</t>
  </si>
  <si>
    <t>Ctenotus inornatus</t>
  </si>
  <si>
    <t>Ctenotus labillardieri</t>
  </si>
  <si>
    <t>Ctenotus lancelini</t>
  </si>
  <si>
    <t>Lancelin Island Skink</t>
  </si>
  <si>
    <t>Ctenotus leae</t>
  </si>
  <si>
    <t>Ctenotus leonhardii</t>
  </si>
  <si>
    <t>Ctenotus maryani</t>
  </si>
  <si>
    <t>Ctenotus mastigura</t>
  </si>
  <si>
    <t>Ctenotus mesotes</t>
  </si>
  <si>
    <t>Median-striped Ctenotus</t>
  </si>
  <si>
    <t>Ctenotus militaris</t>
  </si>
  <si>
    <t>Ctenotus mimetes</t>
  </si>
  <si>
    <t>Ctenotus nasutus</t>
  </si>
  <si>
    <t>Ctenotus nigrilineatus</t>
  </si>
  <si>
    <t>Pin-striped Fine-snout Skink</t>
  </si>
  <si>
    <t>Ctenotus ora</t>
  </si>
  <si>
    <t>Coastal Plains Skink</t>
  </si>
  <si>
    <t>Ctenotus orientalis</t>
  </si>
  <si>
    <t>Ctenotus pallescens</t>
  </si>
  <si>
    <t>Ctenotus pantherinus</t>
  </si>
  <si>
    <t>Leopard Ctenotus</t>
  </si>
  <si>
    <t>Ctenotus pantherinus acripes</t>
  </si>
  <si>
    <t>Ctenotus pantherinus calx</t>
  </si>
  <si>
    <t>Ctenotus pantherinus ocellifer</t>
  </si>
  <si>
    <t>Ctenotus pantherinus pantherinus</t>
  </si>
  <si>
    <t>Ctenotus piankai</t>
  </si>
  <si>
    <t>Ctenotus quattuordecimlineatus</t>
  </si>
  <si>
    <t>Ctenotus regius</t>
  </si>
  <si>
    <t>Ctenotus rimacola</t>
  </si>
  <si>
    <t>Ctenotus rimacola camptris</t>
  </si>
  <si>
    <t>Ctenotus robustus</t>
  </si>
  <si>
    <t>Ctenotus rubicundus</t>
  </si>
  <si>
    <t>Ctenotus rufescens</t>
  </si>
  <si>
    <t>Ctenotus rutilans</t>
  </si>
  <si>
    <t>Ctenotus saxatilis</t>
  </si>
  <si>
    <t>Rock Ctenotus</t>
  </si>
  <si>
    <t>Ctenotus schomburgkii</t>
  </si>
  <si>
    <t>Ctenotus septenarius</t>
  </si>
  <si>
    <t>Ctenotus serventyi</t>
  </si>
  <si>
    <t>Ctenotus severus</t>
  </si>
  <si>
    <t>Ctenotus tanamiensis</t>
  </si>
  <si>
    <t>Ctenotus tantillus</t>
  </si>
  <si>
    <t>Ctenotus uber</t>
  </si>
  <si>
    <t>Spotted Ctenotus</t>
  </si>
  <si>
    <t>Ctenotus uber johnstonei</t>
  </si>
  <si>
    <t>Spotted Ctenotus (northeast)</t>
  </si>
  <si>
    <t>Ctenotus uber uber</t>
  </si>
  <si>
    <t>Ctenotus vagus</t>
  </si>
  <si>
    <t>Uneven-striped Ctenotus</t>
  </si>
  <si>
    <t>Ctenotus xenopleura</t>
  </si>
  <si>
    <t>Ctenotus youngsoni</t>
  </si>
  <si>
    <t>Ctenotus zastictus</t>
  </si>
  <si>
    <t>Hamelin Ctenotus</t>
  </si>
  <si>
    <t>Cuculus optatus</t>
  </si>
  <si>
    <t>Oriental Cuckoo</t>
  </si>
  <si>
    <t>Cyanoptila cyanomelana</t>
  </si>
  <si>
    <t>Blue and White Flycatcher</t>
  </si>
  <si>
    <t>Cyanoptila cyanomelana cyanomelana</t>
  </si>
  <si>
    <t>Cyclodomorphus branchialis</t>
  </si>
  <si>
    <t>Gilled Slender Blue-tongue Skink</t>
  </si>
  <si>
    <t>Cyclodomorphus celatus</t>
  </si>
  <si>
    <t>Western Slender Blue-tongue</t>
  </si>
  <si>
    <t>Cyclodomorphus maximus</t>
  </si>
  <si>
    <t>Giant Slender Blue-tongue</t>
  </si>
  <si>
    <t>Cyclodomorphus melanops</t>
  </si>
  <si>
    <t>Slender Blue-tongue</t>
  </si>
  <si>
    <t>Cyclodomorphus melanops elongatus</t>
  </si>
  <si>
    <t>Cyclodomorphus melanops melanops</t>
  </si>
  <si>
    <t>Cyclodomorphus melanops siticulosus</t>
  </si>
  <si>
    <t>Cyclorana australis</t>
  </si>
  <si>
    <t>Giant Frog</t>
  </si>
  <si>
    <t>Cyclorana cryptotis</t>
  </si>
  <si>
    <t>Hidden-ear Frog</t>
  </si>
  <si>
    <t>Cyclorana cultripes</t>
  </si>
  <si>
    <t>Knife-footed Frog</t>
  </si>
  <si>
    <t>Cyclorana longipes</t>
  </si>
  <si>
    <t>Long-footed Frog</t>
  </si>
  <si>
    <t>Cyclorana maini</t>
  </si>
  <si>
    <t>Sheep Frog</t>
  </si>
  <si>
    <t>Cyclorana platycephala</t>
  </si>
  <si>
    <t>Water-holding Frog</t>
  </si>
  <si>
    <t>Cyclorana vagitus</t>
  </si>
  <si>
    <t>Wailing Frog</t>
  </si>
  <si>
    <t>Cygnus atratus</t>
  </si>
  <si>
    <t>Black Swan</t>
  </si>
  <si>
    <t>Cygnus olor</t>
  </si>
  <si>
    <t>Mute Swan</t>
  </si>
  <si>
    <t>Cyliosoma sarahae</t>
  </si>
  <si>
    <t>Sarah's Pill Millipede</t>
  </si>
  <si>
    <t>Cynotelopus notabilis</t>
  </si>
  <si>
    <t>Western Australian Pill Millipede</t>
  </si>
  <si>
    <t>Cyrtodactylus kimberleyensis</t>
  </si>
  <si>
    <t>Kimberley Bent-toed Gecko</t>
  </si>
  <si>
    <t>Dacelo leachii</t>
  </si>
  <si>
    <t>Blue-winged Kookaburra</t>
  </si>
  <si>
    <t>Dacelo leachii leachii</t>
  </si>
  <si>
    <t>Dacelo novaeguineae</t>
  </si>
  <si>
    <t>Laughing Kookaburra</t>
  </si>
  <si>
    <t>Dacelo novaeguineae novaeguineae</t>
  </si>
  <si>
    <t>Dama dama</t>
  </si>
  <si>
    <t>Fallow Deer</t>
  </si>
  <si>
    <t>Damochlora millepunctata</t>
  </si>
  <si>
    <t>a camaenid land snail (Admiralty Gulf)</t>
  </si>
  <si>
    <t>Damochlora spina</t>
  </si>
  <si>
    <t>a camaenid land snail (Kalumburu)</t>
  </si>
  <si>
    <t>Daphnia jollyi</t>
  </si>
  <si>
    <t>water flea (inland south west)</t>
  </si>
  <si>
    <t>Daphnia occidentalis</t>
  </si>
  <si>
    <t>water flea (Karri forests)</t>
  </si>
  <si>
    <t>Daphoenositta chrysoptera</t>
  </si>
  <si>
    <t>Varied Sittella</t>
  </si>
  <si>
    <t>Daphoenositta chrysoptera leucoptera</t>
  </si>
  <si>
    <t>Daphoenositta chrysoptera pileata</t>
  </si>
  <si>
    <t>Daption capense</t>
  </si>
  <si>
    <t>Cape Petrel</t>
  </si>
  <si>
    <t>Daption capense capense</t>
  </si>
  <si>
    <t>Dasycercus blythi</t>
  </si>
  <si>
    <t>Brush-tailed Mulgara</t>
  </si>
  <si>
    <t>Dasycercus cristicauda</t>
  </si>
  <si>
    <t>Crest-tailed Mulgara</t>
  </si>
  <si>
    <t>Dasycercus sp.</t>
  </si>
  <si>
    <t>mulgara</t>
  </si>
  <si>
    <t>Dasykaluta rosamondae</t>
  </si>
  <si>
    <t>Little Red Kaluta</t>
  </si>
  <si>
    <t>Dasyornis broadbenti</t>
  </si>
  <si>
    <t>Rufous Bristlebird</t>
  </si>
  <si>
    <t>Dasyornis broadbenti litoralis</t>
  </si>
  <si>
    <t>Dasyornis longirostris</t>
  </si>
  <si>
    <t>Western Bristlebird</t>
  </si>
  <si>
    <t>Dasyurus geoffroii</t>
  </si>
  <si>
    <t>Chuditch</t>
  </si>
  <si>
    <t>Dasyurus hallucatus</t>
  </si>
  <si>
    <t>Northern Quoll</t>
  </si>
  <si>
    <t>Delma australis</t>
  </si>
  <si>
    <t>Delma borea</t>
  </si>
  <si>
    <t>Delma butleri</t>
  </si>
  <si>
    <t>Delma concinna</t>
  </si>
  <si>
    <t>Javelin Legless Lizard</t>
  </si>
  <si>
    <t>Delma concinna concinna</t>
  </si>
  <si>
    <t>Delma concinna major</t>
  </si>
  <si>
    <t>Javelin Legless Lizard (Shark Bay)</t>
  </si>
  <si>
    <t>Delma desmosa</t>
  </si>
  <si>
    <t>Delma elegans</t>
  </si>
  <si>
    <t>Delma fraseri</t>
  </si>
  <si>
    <t>Fraser's Legless Lizard</t>
  </si>
  <si>
    <t>Delma grayii</t>
  </si>
  <si>
    <t>Delma haroldi</t>
  </si>
  <si>
    <t>Delma hebesa</t>
  </si>
  <si>
    <t>Heath Delma</t>
  </si>
  <si>
    <t>Delma nasuta</t>
  </si>
  <si>
    <t>Delma pax</t>
  </si>
  <si>
    <t>Delma petersoni</t>
  </si>
  <si>
    <t>Delma tealei</t>
  </si>
  <si>
    <t>Delma tincta</t>
  </si>
  <si>
    <t>Delphinus delphis</t>
  </si>
  <si>
    <t>Common Dolphin</t>
  </si>
  <si>
    <t>Delphinus delphis delphis</t>
  </si>
  <si>
    <t>Demansia angusticeps</t>
  </si>
  <si>
    <t>Demansia calodera</t>
  </si>
  <si>
    <t>Black-necked Whipsnake</t>
  </si>
  <si>
    <t>Demansia olivacea</t>
  </si>
  <si>
    <t>Olive Whipsnake</t>
  </si>
  <si>
    <t>Demansia papuensis</t>
  </si>
  <si>
    <t>Great Black Whipsnake</t>
  </si>
  <si>
    <t>Demansia psammophis</t>
  </si>
  <si>
    <t>Yellow-faced Whipsnake</t>
  </si>
  <si>
    <t>Demansia psammophis cupreiceps</t>
  </si>
  <si>
    <t>Demansia psammophis psammophis</t>
  </si>
  <si>
    <t>Demansia psammophis reticulata</t>
  </si>
  <si>
    <t>Demansia quaesitor</t>
  </si>
  <si>
    <t>whipsnake</t>
  </si>
  <si>
    <t>Demansia rimicola</t>
  </si>
  <si>
    <t>Demansia rufescens</t>
  </si>
  <si>
    <t>Rufous Whipsnake</t>
  </si>
  <si>
    <t>Demansia shinei</t>
  </si>
  <si>
    <t>Demansia simplex</t>
  </si>
  <si>
    <t>Grey Whipsnake</t>
  </si>
  <si>
    <t>Demansia vestigiata</t>
  </si>
  <si>
    <t>Lesser Black Whipsnake</t>
  </si>
  <si>
    <t>Dendrelaphis punctulata</t>
  </si>
  <si>
    <t>Green Tree Snake</t>
  </si>
  <si>
    <t>Dendrocygna arcuata</t>
  </si>
  <si>
    <t>Wandering Whistling Duck</t>
  </si>
  <si>
    <t>Dendrocygna eytoni</t>
  </si>
  <si>
    <t>Plumed Whistling Duck</t>
  </si>
  <si>
    <t>Dermochelys coriacea</t>
  </si>
  <si>
    <t>Leatherback Turtle</t>
  </si>
  <si>
    <t>Dicaeum hirundinaceum</t>
  </si>
  <si>
    <t>Mistletoebird</t>
  </si>
  <si>
    <t>Dicaeum hirundinaceum hirundinaceum</t>
  </si>
  <si>
    <t>Dicrurus bracteatus</t>
  </si>
  <si>
    <t>Spangled Drongo</t>
  </si>
  <si>
    <t>Dicrurus bracteatus bracteatus</t>
  </si>
  <si>
    <t>Diomedea amsterdamensis</t>
  </si>
  <si>
    <t>Amsterdam Albatross</t>
  </si>
  <si>
    <t>Diomedea antipodensis</t>
  </si>
  <si>
    <t>Antipodean Albatross</t>
  </si>
  <si>
    <t>Diomedea antipodensis gibsoni</t>
  </si>
  <si>
    <t>Gibson's Albatross</t>
  </si>
  <si>
    <t>Diomedea dabbenena</t>
  </si>
  <si>
    <t>Tristan Albatross</t>
  </si>
  <si>
    <t>Diomedea epomophora</t>
  </si>
  <si>
    <t>Southern Royal Albatross</t>
  </si>
  <si>
    <t>Diomedea exulans</t>
  </si>
  <si>
    <t>Wandering Albatross</t>
  </si>
  <si>
    <t>Diomedea sanfordi</t>
  </si>
  <si>
    <t>Northern Royal Albatross</t>
  </si>
  <si>
    <t>Diplodactylus bilybara</t>
  </si>
  <si>
    <t>Western Fat-tailed Gecko</t>
  </si>
  <si>
    <t>Diplodactylus calcicolus</t>
  </si>
  <si>
    <t>South Coast Gecko</t>
  </si>
  <si>
    <t>Diplodactylus capensis</t>
  </si>
  <si>
    <t>Cape Range Stone Gecko</t>
  </si>
  <si>
    <t>Diplodactylus conspicillatus</t>
  </si>
  <si>
    <t>Fat-tailed Gecko</t>
  </si>
  <si>
    <t>Diplodactylus custos</t>
  </si>
  <si>
    <t>Kimberley Fat-tailed Gecko</t>
  </si>
  <si>
    <t>Diplodactylus fulleri</t>
  </si>
  <si>
    <t>Lake Disappointment Ground Gecko</t>
  </si>
  <si>
    <t>Diplodactylus galaxias</t>
  </si>
  <si>
    <t>Northern Pilbara Beak-faced Gecko</t>
  </si>
  <si>
    <t>Diplodactylus granariensis</t>
  </si>
  <si>
    <t>Diplodactylus granariensis granariensis</t>
  </si>
  <si>
    <t>Diplodactylus granariensis rex</t>
  </si>
  <si>
    <t>Diplodactylus kenneallyi</t>
  </si>
  <si>
    <t>Kenneally's Gecko (Lake Buchanan)</t>
  </si>
  <si>
    <t>Diplodactylus klugei</t>
  </si>
  <si>
    <t>Diplodactylus laevis</t>
  </si>
  <si>
    <t>Desert Fat-tailed Gecko</t>
  </si>
  <si>
    <t>Diplodactylus lateroides</t>
  </si>
  <si>
    <t>Speckled Stone Gecko</t>
  </si>
  <si>
    <t>Diplodactylus mitchelli</t>
  </si>
  <si>
    <t>Diplodactylus nebulosus</t>
  </si>
  <si>
    <t>Cloudy Stone Gecko</t>
  </si>
  <si>
    <t>Diplodactylus ornatus</t>
  </si>
  <si>
    <t>Diplodactylus polyophthalmus</t>
  </si>
  <si>
    <t>Diplodactylus pulcher</t>
  </si>
  <si>
    <t>Diplodactylus savagei</t>
  </si>
  <si>
    <t>Southern Pilbara Beak-faced Gecko</t>
  </si>
  <si>
    <t>Diplodactylus wiru</t>
  </si>
  <si>
    <t>Desert Wood Gecko</t>
  </si>
  <si>
    <t>Diporiphora adductus</t>
  </si>
  <si>
    <t>Carnarvon Dragon</t>
  </si>
  <si>
    <t>Diporiphora albilabris</t>
  </si>
  <si>
    <t>White-lipped Two-lined Dragon</t>
  </si>
  <si>
    <t>Diporiphora albilabris albilabris</t>
  </si>
  <si>
    <t>Diporiphora amphiboluroides</t>
  </si>
  <si>
    <t>Mulga Dragon</t>
  </si>
  <si>
    <t>Diporiphora arnhemica</t>
  </si>
  <si>
    <t>Diporiphora bennettii</t>
  </si>
  <si>
    <t>Diporiphora convergens</t>
  </si>
  <si>
    <t>Crystal Creek Two-lined Dragon</t>
  </si>
  <si>
    <t>Diporiphora lalliae</t>
  </si>
  <si>
    <t>Diporiphora linga</t>
  </si>
  <si>
    <t>Diporiphora magna</t>
  </si>
  <si>
    <t>Diporiphora paraconvergens</t>
  </si>
  <si>
    <t>Grey-striped Western Desert Dragon</t>
  </si>
  <si>
    <t>Diporiphora pindan</t>
  </si>
  <si>
    <t>Pindan Dragon</t>
  </si>
  <si>
    <t>Diporiphora reginae</t>
  </si>
  <si>
    <t>Diporiphora superba</t>
  </si>
  <si>
    <t>Diporiphora valens</t>
  </si>
  <si>
    <t>Southern Pilbara Tree Dragon</t>
  </si>
  <si>
    <t>Diporiphora vescus</t>
  </si>
  <si>
    <t>Northern Pilbara Tree Dragon</t>
  </si>
  <si>
    <t>Draculoides bramstokeri</t>
  </si>
  <si>
    <t>Barrow Island Draculoides</t>
  </si>
  <si>
    <t>Draculoides brooksi</t>
  </si>
  <si>
    <t>Northern Cape Range Draculoides</t>
  </si>
  <si>
    <t>Draculoides julianneae</t>
  </si>
  <si>
    <t>Western Cape Range Draculoides</t>
  </si>
  <si>
    <t>Draculoides mesozeirus</t>
  </si>
  <si>
    <t>Middle Robe Draculoides</t>
  </si>
  <si>
    <t>Draculoides vinei</t>
  </si>
  <si>
    <t>Cape Range Draculoides</t>
  </si>
  <si>
    <t>Dromaius novaehollandiae</t>
  </si>
  <si>
    <t>Emu</t>
  </si>
  <si>
    <t>Dromaius novaehollandiae novaehollandiae</t>
  </si>
  <si>
    <t>Drymodes brunneopygia</t>
  </si>
  <si>
    <t>Southern Scrub-robin</t>
  </si>
  <si>
    <t>Drysdalia mastersii</t>
  </si>
  <si>
    <t>Master's Snake</t>
  </si>
  <si>
    <t>Ducula bicolor</t>
  </si>
  <si>
    <t>Pied Imperial Pigeon</t>
  </si>
  <si>
    <t>Ducula bicolor spilorrhoa</t>
  </si>
  <si>
    <t>Torres Strait Pigeon</t>
  </si>
  <si>
    <t>Dugong dugon</t>
  </si>
  <si>
    <t>Dugong</t>
  </si>
  <si>
    <t>Dupucharopa millestriata</t>
  </si>
  <si>
    <t>Depuch Island charopid land snail</t>
  </si>
  <si>
    <t>Echiopsis curta</t>
  </si>
  <si>
    <t>Bardick</t>
  </si>
  <si>
    <t>Egernia cygnitos</t>
  </si>
  <si>
    <t>Western Pilbara Spiny-tailed Skink</t>
  </si>
  <si>
    <t>Egernia depressa</t>
  </si>
  <si>
    <t>Southern Pygmy Spiny-tailed Skink</t>
  </si>
  <si>
    <t>Egernia douglasi</t>
  </si>
  <si>
    <t>Egernia eos</t>
  </si>
  <si>
    <t>Central Pygmy Spiny-tailed Skink</t>
  </si>
  <si>
    <t>Egernia epsisolus</t>
  </si>
  <si>
    <t>Eastern Pilbara Spiny-tailed Skink</t>
  </si>
  <si>
    <t>Egernia formosa</t>
  </si>
  <si>
    <t>Egernia kingii</t>
  </si>
  <si>
    <t>King's Skink</t>
  </si>
  <si>
    <t>Egernia napoleonis</t>
  </si>
  <si>
    <t>Egernia pilbarensis</t>
  </si>
  <si>
    <t>Pilbara Skink</t>
  </si>
  <si>
    <t>Egernia richardi</t>
  </si>
  <si>
    <t>Egernia stokesii</t>
  </si>
  <si>
    <t>Spiny-tailed Skink</t>
  </si>
  <si>
    <t>Egernia stokesii badia</t>
  </si>
  <si>
    <t>Western Spiny-tailed Skink</t>
  </si>
  <si>
    <t>Egernia stokesii stokesii</t>
  </si>
  <si>
    <t>Houtman Abrolhos Spiny-tailed Skink</t>
  </si>
  <si>
    <t>Elanus caeruleus</t>
  </si>
  <si>
    <t>Black-shouldered Kite</t>
  </si>
  <si>
    <t>Elanus caeruleus axillaris</t>
  </si>
  <si>
    <t>Australian Black-shouldered Kite</t>
  </si>
  <si>
    <t>Elanus scriptus</t>
  </si>
  <si>
    <t>Letter-winged Kite</t>
  </si>
  <si>
    <t>Elapognathus coronatus</t>
  </si>
  <si>
    <t>Crowned Snake</t>
  </si>
  <si>
    <t>Elapognathus minor</t>
  </si>
  <si>
    <t>Short-nosed Snake</t>
  </si>
  <si>
    <t>Elseya dentata</t>
  </si>
  <si>
    <t>Northern Snapping Turtle</t>
  </si>
  <si>
    <t>Elseyornis melanops</t>
  </si>
  <si>
    <t>Black-fronted Dotterel</t>
  </si>
  <si>
    <t>Emblema pictum</t>
  </si>
  <si>
    <t>Painted Finch</t>
  </si>
  <si>
    <t>Emydocephalus annulatus</t>
  </si>
  <si>
    <t>Emydura victoriae</t>
  </si>
  <si>
    <t>Northern Red-faced Turtle</t>
  </si>
  <si>
    <t>Engaewa pseudoreducta</t>
  </si>
  <si>
    <t>Margaret River Burrowing Crayfish</t>
  </si>
  <si>
    <t>Engaewa reducta</t>
  </si>
  <si>
    <t>Dunsborough Burrowing Crayfish</t>
  </si>
  <si>
    <t>Engaewa similis</t>
  </si>
  <si>
    <t>Augusta burrowing crayfish</t>
  </si>
  <si>
    <t>Engaewa sp. clade A</t>
  </si>
  <si>
    <t>Spearwood Creek burrowing crayfish</t>
  </si>
  <si>
    <t>Engaewa sp. clade B</t>
  </si>
  <si>
    <t>Irwin burrowing crayfish</t>
  </si>
  <si>
    <t>Engaewa subcoerulea</t>
  </si>
  <si>
    <t>Shannon burrowing crayfish</t>
  </si>
  <si>
    <t>Engaewa walpolea</t>
  </si>
  <si>
    <t>Walpole Burrowing Crayfish</t>
  </si>
  <si>
    <t>Eopsaltria australis</t>
  </si>
  <si>
    <t>Yellow Robin</t>
  </si>
  <si>
    <t>Eopsaltria australis griseogularis</t>
  </si>
  <si>
    <t>Western Yellow Robin</t>
  </si>
  <si>
    <t>Eopsaltria georgiana</t>
  </si>
  <si>
    <t>White-breasted Robin</t>
  </si>
  <si>
    <t>Eopsaltria pulverulenta</t>
  </si>
  <si>
    <t>Mangrove Robin</t>
  </si>
  <si>
    <t>Ephalophis greyae</t>
  </si>
  <si>
    <t>Ephippiorhynchus asiaticus</t>
  </si>
  <si>
    <t>Black-necked Stork</t>
  </si>
  <si>
    <t>Ephippiorhynchus asiaticus australis</t>
  </si>
  <si>
    <t>Epthianura albifrons</t>
  </si>
  <si>
    <t>White-fronted Chat</t>
  </si>
  <si>
    <t>Epthianura aurifrons</t>
  </si>
  <si>
    <t>Orange Chat</t>
  </si>
  <si>
    <t>Epthianura crocea</t>
  </si>
  <si>
    <t>Yellow Chat</t>
  </si>
  <si>
    <t>Epthianura tricolor</t>
  </si>
  <si>
    <t>Crimson Chat</t>
  </si>
  <si>
    <t>Equus asinus</t>
  </si>
  <si>
    <t>Donkey</t>
  </si>
  <si>
    <t>Equus caballus</t>
  </si>
  <si>
    <t>Horse</t>
  </si>
  <si>
    <t>Eremiascincus brongersmai</t>
  </si>
  <si>
    <t>Eremiascincus intermedius</t>
  </si>
  <si>
    <t>Northern Narrow-banded Skink</t>
  </si>
  <si>
    <t>Eremiascincus isolepis</t>
  </si>
  <si>
    <t>Eremiascincus musivus</t>
  </si>
  <si>
    <t>Mosaic Desert Skink</t>
  </si>
  <si>
    <t>Eremiascincus pallidus</t>
  </si>
  <si>
    <t>Western Narrow-banded Skink</t>
  </si>
  <si>
    <t>Eremiascincus richardsonii</t>
  </si>
  <si>
    <t>Broad-banded Sand Swimmer</t>
  </si>
  <si>
    <t>Eremiascincus rubiginosus</t>
  </si>
  <si>
    <t>Rusty skink</t>
  </si>
  <si>
    <t>Eremiornis carteri</t>
  </si>
  <si>
    <t>Spinifex-bird</t>
  </si>
  <si>
    <t>Eretmochelys imbricata</t>
  </si>
  <si>
    <t>Hawksbill Turtle</t>
  </si>
  <si>
    <t>Eretmochelys imbricata bissa</t>
  </si>
  <si>
    <t>Erythrogonys cinctus</t>
  </si>
  <si>
    <t>Red-kneed Dotterel</t>
  </si>
  <si>
    <t>Erythrotriorchis radiatus</t>
  </si>
  <si>
    <t>Red Goshawk</t>
  </si>
  <si>
    <t>Erythrura gouldiae</t>
  </si>
  <si>
    <t>Gouldian Finch</t>
  </si>
  <si>
    <t>Esacus magnirostris</t>
  </si>
  <si>
    <t>Beach Stone-curlew</t>
  </si>
  <si>
    <t>Eubalaena australis</t>
  </si>
  <si>
    <t>Southern Right Whale</t>
  </si>
  <si>
    <t>Eudynamys orientalis</t>
  </si>
  <si>
    <t>Pacific Koel</t>
  </si>
  <si>
    <t>Eudynamys orientalis subcyanocephalus</t>
  </si>
  <si>
    <t>Eudynamys scolopacea</t>
  </si>
  <si>
    <t>Common Koel</t>
  </si>
  <si>
    <t>Eudynamys scolopacea cyanocephala</t>
  </si>
  <si>
    <t>Eudyptes chrysocome</t>
  </si>
  <si>
    <t>Rockhopper Penguin</t>
  </si>
  <si>
    <t>Eudyptes chrysocome filholi</t>
  </si>
  <si>
    <t>Eudyptes chrysolophus</t>
  </si>
  <si>
    <t>Macaroni Penguin</t>
  </si>
  <si>
    <t>Eudyptes chrysolophus schlegeli</t>
  </si>
  <si>
    <t>Royal Penguin</t>
  </si>
  <si>
    <t>Eudyptes moseleyi</t>
  </si>
  <si>
    <t>Northern Rockhopper Penguin</t>
  </si>
  <si>
    <t>Eudyptes pachyrhynchus</t>
  </si>
  <si>
    <t>Fiordland Penguin</t>
  </si>
  <si>
    <t>Eudyptes robustus</t>
  </si>
  <si>
    <t>Snares Penguin</t>
  </si>
  <si>
    <t>Eudyptes sclateri</t>
  </si>
  <si>
    <t>Erect-crested Penguin</t>
  </si>
  <si>
    <t>Eudyptula minor</t>
  </si>
  <si>
    <t>Little Penguin</t>
  </si>
  <si>
    <t>Eudyptula minor novaehollandiae</t>
  </si>
  <si>
    <t>Eulabeornis castaneoventris</t>
  </si>
  <si>
    <t>Chestnut Rail</t>
  </si>
  <si>
    <t>Eulabeornis castaneoventris castaneoventris</t>
  </si>
  <si>
    <t>Euoplos inornatus</t>
  </si>
  <si>
    <t>inornate trapdoor spider (northern Jarrah Forest)</t>
  </si>
  <si>
    <t>Eurostopodus argus</t>
  </si>
  <si>
    <t>Spotted Nightjar</t>
  </si>
  <si>
    <t>Eurystomus orientalis</t>
  </si>
  <si>
    <t>Dollarbird</t>
  </si>
  <si>
    <t>Eurystomus orientalis pacificus</t>
  </si>
  <si>
    <t>Excalfactoria chinensis</t>
  </si>
  <si>
    <t>King Quail</t>
  </si>
  <si>
    <t>Excalfactoria chinensis lineata</t>
  </si>
  <si>
    <t>Falco [subbuteo]</t>
  </si>
  <si>
    <t>[Eurasian Hobby]</t>
  </si>
  <si>
    <t>Falco berigora</t>
  </si>
  <si>
    <t>Brown Falcon</t>
  </si>
  <si>
    <t>Falco berigora berigora</t>
  </si>
  <si>
    <t>Falco cenchroides</t>
  </si>
  <si>
    <t>Australian Kestrel</t>
  </si>
  <si>
    <t>Falco cenchroides cenchroides</t>
  </si>
  <si>
    <t>Falco hypoleucos</t>
  </si>
  <si>
    <t>Grey Falcon</t>
  </si>
  <si>
    <t>Falco longipennis</t>
  </si>
  <si>
    <t>Australian Hobby</t>
  </si>
  <si>
    <t>Falco longipennis longipennis</t>
  </si>
  <si>
    <t>Falco peregrinus</t>
  </si>
  <si>
    <t>Peregrine Falcon</t>
  </si>
  <si>
    <t>Falco peregrinus japonensis</t>
  </si>
  <si>
    <t>Japanese Peregrine Falcon</t>
  </si>
  <si>
    <t>Falco peregrinus macropus</t>
  </si>
  <si>
    <t>Australian Peregrine Falcon</t>
  </si>
  <si>
    <t>Falco subniger</t>
  </si>
  <si>
    <t>Black Falcon</t>
  </si>
  <si>
    <t>Falcunculus frontatus</t>
  </si>
  <si>
    <t>Crested Shrike-tit</t>
  </si>
  <si>
    <t>Falcunculus frontatus leucogaster</t>
  </si>
  <si>
    <t>Western Shrike-tit</t>
  </si>
  <si>
    <t>Falcunculus frontatus whitei</t>
  </si>
  <si>
    <t>Crested Shrike-tit (northern)</t>
  </si>
  <si>
    <t>Falsistrellus mackenziei</t>
  </si>
  <si>
    <t>Western False Pipistrelle</t>
  </si>
  <si>
    <t>Felis catus</t>
  </si>
  <si>
    <t>Cat</t>
  </si>
  <si>
    <t>Feresa attenuata</t>
  </si>
  <si>
    <t>Pygmy Killer Whale</t>
  </si>
  <si>
    <t>Fibulacamptus bisetosus</t>
  </si>
  <si>
    <t>a non-marine Harpacticoid copepod (Muirillup Rock)</t>
  </si>
  <si>
    <t>Ficedula narcissina</t>
  </si>
  <si>
    <t>Narcissus Flycatcher</t>
  </si>
  <si>
    <t>Ficedula narcissina narcissina</t>
  </si>
  <si>
    <t>Fordonia leucobalia</t>
  </si>
  <si>
    <t>White-bellied Mangrove Snake</t>
  </si>
  <si>
    <t>Fregata andrewsi</t>
  </si>
  <si>
    <t>Christmas Island Frigatebird</t>
  </si>
  <si>
    <t>Fregata ariel</t>
  </si>
  <si>
    <t>Lesser Frigatebird</t>
  </si>
  <si>
    <t>Fregata ariel ariel</t>
  </si>
  <si>
    <t>Fregata minor</t>
  </si>
  <si>
    <t>great frigatebird</t>
  </si>
  <si>
    <t>Fregetta tropica</t>
  </si>
  <si>
    <t>Black-bellied Storm Petrel</t>
  </si>
  <si>
    <t>Fregetta tropica tropica</t>
  </si>
  <si>
    <t>Fulica atra</t>
  </si>
  <si>
    <t>Eurasian Coot</t>
  </si>
  <si>
    <t>Fulica atra australis</t>
  </si>
  <si>
    <t>Fulmarus glacialoides</t>
  </si>
  <si>
    <t>Southern Fulmar</t>
  </si>
  <si>
    <t>Funambulus pennanti</t>
  </si>
  <si>
    <t>Indian Palm Squirrel</t>
  </si>
  <si>
    <t>Furina ornata</t>
  </si>
  <si>
    <t>Moon Snake</t>
  </si>
  <si>
    <t>Galaxias occidentalis</t>
  </si>
  <si>
    <t>Western Minnow</t>
  </si>
  <si>
    <t>Galaxias truttaceus</t>
  </si>
  <si>
    <t>Trout Minnow</t>
  </si>
  <si>
    <t>Galaxias truttaceus (western australian population)</t>
  </si>
  <si>
    <t>Western Trout Minnow</t>
  </si>
  <si>
    <t>Galaxiella munda</t>
  </si>
  <si>
    <t>mud minnow</t>
  </si>
  <si>
    <t>Galaxiella nigrostriata</t>
  </si>
  <si>
    <t>Black-stripe Minnow</t>
  </si>
  <si>
    <t>Gallinago hardwickii</t>
  </si>
  <si>
    <t>Latham's Snipe</t>
  </si>
  <si>
    <t>Gallinago megala</t>
  </si>
  <si>
    <t>Swinhoe's Snipe</t>
  </si>
  <si>
    <t>Gallinago stenura</t>
  </si>
  <si>
    <t>Pin-tailed Snipe</t>
  </si>
  <si>
    <t>Gallinula tenebrosa</t>
  </si>
  <si>
    <t>Dusky Moorhen</t>
  </si>
  <si>
    <t>Gallinula tenebrosa tenebrosa</t>
  </si>
  <si>
    <t>Gallirallus philippensis</t>
  </si>
  <si>
    <t>Buff-banded Rail</t>
  </si>
  <si>
    <t>Gallirallus philippensis mellori</t>
  </si>
  <si>
    <t>Garrodia nereis</t>
  </si>
  <si>
    <t>Grey-backed Storm Petrel</t>
  </si>
  <si>
    <t>Gavicalis virescens</t>
  </si>
  <si>
    <t>Singing Honeyeater</t>
  </si>
  <si>
    <t>Gavicalis virescens virescens</t>
  </si>
  <si>
    <t>Gehyra australis</t>
  </si>
  <si>
    <t>Gehyra granulum</t>
  </si>
  <si>
    <t>Kimberley granular-toed gecko</t>
  </si>
  <si>
    <t>Gehyra koira</t>
  </si>
  <si>
    <t>Gehyra koira ipsa</t>
  </si>
  <si>
    <t>Gehyra koira koira</t>
  </si>
  <si>
    <t>Gehyra montium</t>
  </si>
  <si>
    <t>Gehyra multiporosa</t>
  </si>
  <si>
    <t>Multi-pored Gecko</t>
  </si>
  <si>
    <t>Gehyra nana</t>
  </si>
  <si>
    <t>Gehyra occidentalis</t>
  </si>
  <si>
    <t>Gehyra pilbara</t>
  </si>
  <si>
    <t>Gehyra pluraporosa</t>
  </si>
  <si>
    <t>Northern Kimberley gecko</t>
  </si>
  <si>
    <t>Gehyra pseudopunctata</t>
  </si>
  <si>
    <t>Southern Kimberley spotted gecko</t>
  </si>
  <si>
    <t>Gehyra pulingka</t>
  </si>
  <si>
    <t>Rock-dwelling Gecko</t>
  </si>
  <si>
    <t>Gehyra punctata</t>
  </si>
  <si>
    <t>Gehyra purpurascens</t>
  </si>
  <si>
    <t>Gehyra spheniscus</t>
  </si>
  <si>
    <t>Small Wedge-toed Gecko</t>
  </si>
  <si>
    <t>Gehyra variegata</t>
  </si>
  <si>
    <t>Gehyra xenopus</t>
  </si>
  <si>
    <t>Large Wedge-toed Gecko</t>
  </si>
  <si>
    <t>Gelochelidon nilotica</t>
  </si>
  <si>
    <t>Gull-billed Tern</t>
  </si>
  <si>
    <t>Gelochelidon nilotica affinis</t>
  </si>
  <si>
    <t>Gelochelidon nilotica macrotarsa</t>
  </si>
  <si>
    <t>Geocrinia alba</t>
  </si>
  <si>
    <t>White-bellied Frog</t>
  </si>
  <si>
    <t>Geocrinia leai</t>
  </si>
  <si>
    <t>Ticking Frog</t>
  </si>
  <si>
    <t>Geocrinia lutea</t>
  </si>
  <si>
    <t>Nornalup Frog</t>
  </si>
  <si>
    <t>Geocrinia rosea</t>
  </si>
  <si>
    <t>Roseate Frog</t>
  </si>
  <si>
    <t>Geocrinia vitellina</t>
  </si>
  <si>
    <t>Orange-bellied Frog</t>
  </si>
  <si>
    <t>Geokichla sibirica</t>
  </si>
  <si>
    <t>Siberian Thrush</t>
  </si>
  <si>
    <t>Geopelia cuneata</t>
  </si>
  <si>
    <t>Diamond Dove</t>
  </si>
  <si>
    <t>Geopelia humeralis</t>
  </si>
  <si>
    <t>Bar-shouldered Dove</t>
  </si>
  <si>
    <t>Geopelia striata</t>
  </si>
  <si>
    <t>Zebra Dove</t>
  </si>
  <si>
    <t>Geopelia striata placida</t>
  </si>
  <si>
    <t>Peaceful Dove</t>
  </si>
  <si>
    <t>Geophaps plumifera</t>
  </si>
  <si>
    <t>Spinifex Pigeon</t>
  </si>
  <si>
    <t>Geophaps plumifera ferruginea</t>
  </si>
  <si>
    <t>Geophaps plumifera plumifera</t>
  </si>
  <si>
    <t>Geophaps smithii</t>
  </si>
  <si>
    <t>Partridge Pigeon</t>
  </si>
  <si>
    <t>Geophaps smithii blaauwi</t>
  </si>
  <si>
    <t>Partridge Pigeon (western)</t>
  </si>
  <si>
    <t>Geophaps smithii smithii</t>
  </si>
  <si>
    <t>Partridge Pigeon (eastern)</t>
  </si>
  <si>
    <t>Geotria australis</t>
  </si>
  <si>
    <t>Pouched Lamprey</t>
  </si>
  <si>
    <t>Gerygone chloronota</t>
  </si>
  <si>
    <t>Green-backed Gerygone</t>
  </si>
  <si>
    <t>Gerygone chloronota chloronota</t>
  </si>
  <si>
    <t>Gerygone fusca</t>
  </si>
  <si>
    <t>Western Gerygone</t>
  </si>
  <si>
    <t>Gerygone fusca fusca</t>
  </si>
  <si>
    <t>Gerygone fusca mungi</t>
  </si>
  <si>
    <t>Desert Gerygone</t>
  </si>
  <si>
    <t>Gerygone levigaster</t>
  </si>
  <si>
    <t>Mangrove Gerygone</t>
  </si>
  <si>
    <t>Gerygone levigaster levigaster</t>
  </si>
  <si>
    <t>Gerygone magnirostris</t>
  </si>
  <si>
    <t>Large-billed Gerygone</t>
  </si>
  <si>
    <t>Gerygone magnirostris magnirostris</t>
  </si>
  <si>
    <t>Gerygone olivacea</t>
  </si>
  <si>
    <t>White-throated Gerygone</t>
  </si>
  <si>
    <t>Gerygone olivacea rogersi</t>
  </si>
  <si>
    <t>Gerygone tenebrosa</t>
  </si>
  <si>
    <t>Dusky Gerygone</t>
  </si>
  <si>
    <t>Glacidorbis occidentalis</t>
  </si>
  <si>
    <t>Jarrah forest freshwater snail</t>
  </si>
  <si>
    <t>Glaphyromorphus darwiniensis</t>
  </si>
  <si>
    <t>Glareola maldivarum</t>
  </si>
  <si>
    <t>Oriental Pratincole</t>
  </si>
  <si>
    <t>Globicephala macrorhynchus</t>
  </si>
  <si>
    <t>Short-finned Pilot Whale</t>
  </si>
  <si>
    <t>Globicephala melas</t>
  </si>
  <si>
    <t>Long-finned Pilot Whale</t>
  </si>
  <si>
    <t>Globicephala melas edwardii</t>
  </si>
  <si>
    <t>Glossopsitta concinna</t>
  </si>
  <si>
    <t>Musk Lorikeet</t>
  </si>
  <si>
    <t>Glossurocolletes bilobatus</t>
  </si>
  <si>
    <t>a short-tongued bee (southwest)</t>
  </si>
  <si>
    <t>Glyciphila melanops</t>
  </si>
  <si>
    <t>Tawny-crowned Honeyeater</t>
  </si>
  <si>
    <t>Glyciphila melanops melanops</t>
  </si>
  <si>
    <t>Glyphis garricki</t>
  </si>
  <si>
    <t>Northern River Shark</t>
  </si>
  <si>
    <t>Grallina cyanoleuca</t>
  </si>
  <si>
    <t>Magpie-lark</t>
  </si>
  <si>
    <t>Grampus griseus</t>
  </si>
  <si>
    <t>Risso's Dolphin</t>
  </si>
  <si>
    <t>Grantiella picta</t>
  </si>
  <si>
    <t>Painted Honeyeater</t>
  </si>
  <si>
    <t>Grus antigone</t>
  </si>
  <si>
    <t>Sarus Crane</t>
  </si>
  <si>
    <t>Grus antigone gillae</t>
  </si>
  <si>
    <t>Grus rubicunda</t>
  </si>
  <si>
    <t>Brolga</t>
  </si>
  <si>
    <t>Gygis alba</t>
  </si>
  <si>
    <t>White Tern</t>
  </si>
  <si>
    <t>Hadra wilsoni</t>
  </si>
  <si>
    <t>Wilson's camaenid land snail (Prince Regent)</t>
  </si>
  <si>
    <t>Haematopus fuliginosus</t>
  </si>
  <si>
    <t>Sooty Oystercatcher</t>
  </si>
  <si>
    <t>Haematopus fuliginosus fuliginosus</t>
  </si>
  <si>
    <t>Haematopus fuliginosus ophthalmicus</t>
  </si>
  <si>
    <t>Haematopus longirostris</t>
  </si>
  <si>
    <t>Pied Oystercatcher</t>
  </si>
  <si>
    <t>Halcyon pileata</t>
  </si>
  <si>
    <t>Black-capped Kingfisher</t>
  </si>
  <si>
    <t>Haliaeetus albicilla</t>
  </si>
  <si>
    <t>white-tailed sea-eagle</t>
  </si>
  <si>
    <t>Haliaeetus albicilla albicilla</t>
  </si>
  <si>
    <t>Haliaeetus leucogaster</t>
  </si>
  <si>
    <t>White-bellied Sea-Eagle</t>
  </si>
  <si>
    <t>Haliastur indus</t>
  </si>
  <si>
    <t>Brahminy Kite</t>
  </si>
  <si>
    <t>Haliastur indus girrenera</t>
  </si>
  <si>
    <t>Haliastur sphenurus</t>
  </si>
  <si>
    <t>Whistling Kite</t>
  </si>
  <si>
    <t>Halobaena caerulea</t>
  </si>
  <si>
    <t>Blue Petrel</t>
  </si>
  <si>
    <t>Hamirostra isura</t>
  </si>
  <si>
    <t>Square-tailed Kite</t>
  </si>
  <si>
    <t>Hamirostra melanosternon</t>
  </si>
  <si>
    <t>Black-breasted Buzzard</t>
  </si>
  <si>
    <t>Hannia greenwayi</t>
  </si>
  <si>
    <t>Greenway's Grunter</t>
  </si>
  <si>
    <t>Heleioporus albopunctatus</t>
  </si>
  <si>
    <t>Western Spotted Frog</t>
  </si>
  <si>
    <t>Heleioporus barycragus</t>
  </si>
  <si>
    <t>Hooting Frog</t>
  </si>
  <si>
    <t>Heleioporus eyrei</t>
  </si>
  <si>
    <t>Moaning Frog</t>
  </si>
  <si>
    <t>Heleioporus inornatus</t>
  </si>
  <si>
    <t>Whooping Frog</t>
  </si>
  <si>
    <t>Heleioporus psammophilus</t>
  </si>
  <si>
    <t>Sand Frog</t>
  </si>
  <si>
    <t>Helicarion castanea</t>
  </si>
  <si>
    <t>a helicarionid land snail</t>
  </si>
  <si>
    <t>Hemidactylus frenatus</t>
  </si>
  <si>
    <t>Asian House Gecko</t>
  </si>
  <si>
    <t>Hemiergis gracilipes</t>
  </si>
  <si>
    <t>skink</t>
  </si>
  <si>
    <t>Hemiergis initialis</t>
  </si>
  <si>
    <t>Hemiergis initialis brookeri</t>
  </si>
  <si>
    <t>Hemiergis initialis initialis</t>
  </si>
  <si>
    <t>Hemiergis millewae</t>
  </si>
  <si>
    <t>Hemiergis peronii</t>
  </si>
  <si>
    <t>Hemiergis peronii peronii</t>
  </si>
  <si>
    <t>Hemiergis peronii tridactyla</t>
  </si>
  <si>
    <t>Hemiergis quadrilineata</t>
  </si>
  <si>
    <t>Hemisaga lucifer</t>
  </si>
  <si>
    <t>Devil's Slide katydid (Porongorup)</t>
  </si>
  <si>
    <t>Hemisaga vepreculae</t>
  </si>
  <si>
    <t>thorny bush katydid (Moora)</t>
  </si>
  <si>
    <t>Hephaestus epirrhinos</t>
  </si>
  <si>
    <t>Long-nose Sooty Grunter</t>
  </si>
  <si>
    <t>Hesperocolletes douglasi</t>
  </si>
  <si>
    <t>Douglas's Broad-headed Bee</t>
  </si>
  <si>
    <t>Hesperoedura reticulata</t>
  </si>
  <si>
    <t>Heteromunia pectoralis</t>
  </si>
  <si>
    <t>Pictorella Mannikin</t>
  </si>
  <si>
    <t>Heteronotia atra</t>
  </si>
  <si>
    <t>Black Pilbara Gecko</t>
  </si>
  <si>
    <t>Heteronotia binoei</t>
  </si>
  <si>
    <t>Bynoe's Gecko</t>
  </si>
  <si>
    <t>Heteronotia planiceps</t>
  </si>
  <si>
    <t>Heteronotia spelea</t>
  </si>
  <si>
    <t>Desert Cave Gecko</t>
  </si>
  <si>
    <t>Hieraaetus morphnoides</t>
  </si>
  <si>
    <t>Little Eagle</t>
  </si>
  <si>
    <t>Hieraaetus morphnoides morphnoides</t>
  </si>
  <si>
    <t>Himantopus himantopus</t>
  </si>
  <si>
    <t>Black-winged Stilt</t>
  </si>
  <si>
    <t>Himantopus himantopus leucocephalus</t>
  </si>
  <si>
    <t>Hipposideros ater</t>
  </si>
  <si>
    <t>Dusky Leafnosed-bat</t>
  </si>
  <si>
    <t>Hipposideros ater gilberti</t>
  </si>
  <si>
    <t>Hipposideros stenotis</t>
  </si>
  <si>
    <t>Northern Leaf-nosed bat</t>
  </si>
  <si>
    <t>Hirundapus caudacutus</t>
  </si>
  <si>
    <t>White-throated Needletail</t>
  </si>
  <si>
    <t>Hirundapus caudacutus caudacutus</t>
  </si>
  <si>
    <t>Hirundo neoxena</t>
  </si>
  <si>
    <t>Welcome Swallow</t>
  </si>
  <si>
    <t>Hirundo neoxena carteri</t>
  </si>
  <si>
    <t>Hirundo rustica</t>
  </si>
  <si>
    <t>Barn Swallow</t>
  </si>
  <si>
    <t>Hirundo rustica gutturalis</t>
  </si>
  <si>
    <t>Hirundo rustica tytleri</t>
  </si>
  <si>
    <t>Hirundo tahitica</t>
  </si>
  <si>
    <t>Pacific Swallow</t>
  </si>
  <si>
    <t>Hurleya sp. (WAM C23193)</t>
  </si>
  <si>
    <t>Crystal Cave Crangonyctoid</t>
  </si>
  <si>
    <t>Hydrelaps darwiniensis</t>
  </si>
  <si>
    <t>Hydrobates matsudairae</t>
  </si>
  <si>
    <t>Matsudaira's storm-petrel</t>
  </si>
  <si>
    <t>Hydrobates monorhis</t>
  </si>
  <si>
    <t>Swinhoe's Storm-petrel</t>
  </si>
  <si>
    <t>Hydromys chrysogaster</t>
  </si>
  <si>
    <t>Water-rat</t>
  </si>
  <si>
    <t>Hydrophasianus chirurgus</t>
  </si>
  <si>
    <t>Pheasant-tailed Jacana</t>
  </si>
  <si>
    <t>Hydrophis coggeri</t>
  </si>
  <si>
    <t>Slender-necked Seasnake</t>
  </si>
  <si>
    <t>Hydrophis curtus</t>
  </si>
  <si>
    <t>Shaw's Seasnake</t>
  </si>
  <si>
    <t>Hydrophis czeblukovi</t>
  </si>
  <si>
    <t>Fine-spined Seasnake</t>
  </si>
  <si>
    <t>Hydrophis elegans</t>
  </si>
  <si>
    <t>Elegant Seasnake</t>
  </si>
  <si>
    <t>Hydrophis kingii</t>
  </si>
  <si>
    <t>Spectacled Seasnake</t>
  </si>
  <si>
    <t>Hydrophis macdowelli</t>
  </si>
  <si>
    <t>Small-headed Seasnake</t>
  </si>
  <si>
    <t>Hydrophis major</t>
  </si>
  <si>
    <t>Olive-headed seasnake</t>
  </si>
  <si>
    <t>Hydrophis ornatus</t>
  </si>
  <si>
    <t>Ornate Reef Seasnake</t>
  </si>
  <si>
    <t>Hydrophis peronii</t>
  </si>
  <si>
    <t>Spiny-headed Seasnake</t>
  </si>
  <si>
    <t>Hydrophis platurus</t>
  </si>
  <si>
    <t>Yellow-bellied Seasnake</t>
  </si>
  <si>
    <t>Hydrophis stokesii</t>
  </si>
  <si>
    <t>Stoke’s Seasnake</t>
  </si>
  <si>
    <t>Hydroprogne caspia</t>
  </si>
  <si>
    <t>Caspian Tern</t>
  </si>
  <si>
    <t>Hydrurga leptonyx</t>
  </si>
  <si>
    <t>Leopard Seal</t>
  </si>
  <si>
    <t>Hylacola cauta</t>
  </si>
  <si>
    <t>Shy Groundwren</t>
  </si>
  <si>
    <t>Hylacola cauta whitlocki</t>
  </si>
  <si>
    <t>Hylaeus globuliferus</t>
  </si>
  <si>
    <t>woolybush bee</t>
  </si>
  <si>
    <t>Hyperoodon planifrons</t>
  </si>
  <si>
    <t>Southern Bottlenose Whale</t>
  </si>
  <si>
    <t>Hypseleotris aurea</t>
  </si>
  <si>
    <t>Golden Gudgeon</t>
  </si>
  <si>
    <t>Ideoblothrus linnaei</t>
  </si>
  <si>
    <t>Linnaeus' pseudoscorpion (Mesa A)</t>
  </si>
  <si>
    <t>Ideoblothrus sp. 'Mesa A' (WAM T81374)</t>
  </si>
  <si>
    <t>an Ideoblothrus pseudoscorpion (Mesa A)</t>
  </si>
  <si>
    <t>Idiosoma arenaceum</t>
  </si>
  <si>
    <t>Geraldton Sandplain shield-backed trapdoor spider</t>
  </si>
  <si>
    <t>Idiosoma clypeatum</t>
  </si>
  <si>
    <t>northern shield-backed trapdoor spider</t>
  </si>
  <si>
    <t>Idiosoma dandaragan</t>
  </si>
  <si>
    <t>Dandaragan Plateau shield-backed trapdoor spider</t>
  </si>
  <si>
    <t>Idiosoma formosum</t>
  </si>
  <si>
    <t>ornate shield-backed trapdoor spider</t>
  </si>
  <si>
    <t>Idiosoma gardneri</t>
  </si>
  <si>
    <t>Mt Lesueur shield-backed trapdoor spider</t>
  </si>
  <si>
    <t>Idiosoma gutharuka</t>
  </si>
  <si>
    <t>Gutha Pintharuka shield-backed trapdoor spider</t>
  </si>
  <si>
    <t>Idiosoma incomptum</t>
  </si>
  <si>
    <t>Carnarvon shield-backed trapdoor spider</t>
  </si>
  <si>
    <t>Idiosoma intermedium</t>
  </si>
  <si>
    <t>Coolgardie shield-backed trapdoor spider</t>
  </si>
  <si>
    <t>Idiosoma jarrah</t>
  </si>
  <si>
    <t>Jarrah Forrest shield-backed trapdoor spider</t>
  </si>
  <si>
    <t>Idiosoma kopejtkaorum</t>
  </si>
  <si>
    <t>Lake Goorly shield-backed trapdoor spider</t>
  </si>
  <si>
    <t>Idiosoma kwongan</t>
  </si>
  <si>
    <t>Kwongan heath shield-backed trapdoor spider</t>
  </si>
  <si>
    <t>Idiosoma mcclementsorum</t>
  </si>
  <si>
    <t>Julimar shield-backed trapdoor spider</t>
  </si>
  <si>
    <t>Idiosoma mcnamarai</t>
  </si>
  <si>
    <t>Central-eastern Wheatbelt shield-backed trapdoor spider</t>
  </si>
  <si>
    <t>Idiosoma MYG064</t>
  </si>
  <si>
    <t>a shield-backed trapdoor spider</t>
  </si>
  <si>
    <t>Idiosoma MYG519</t>
  </si>
  <si>
    <t>Eastern Wheatbelt shield-backed trapdoor spider</t>
  </si>
  <si>
    <t>Idiosoma nigrum</t>
  </si>
  <si>
    <t>Shield-backed Trapdoor Spider</t>
  </si>
  <si>
    <t>Idiosoma schoknechtorum</t>
  </si>
  <si>
    <t>Mortlock River shield-backed trapdoor spider</t>
  </si>
  <si>
    <t>Idiosoma sigillatum</t>
  </si>
  <si>
    <t>Swan Coastal Plain shield-backed trapdoor spider</t>
  </si>
  <si>
    <t>Idiosoma sp.</t>
  </si>
  <si>
    <t>Indohya damocles</t>
  </si>
  <si>
    <t>Cameron's Cave Pseudoscorpion</t>
  </si>
  <si>
    <t>Indotyphlops braminus</t>
  </si>
  <si>
    <t>Irediparra gallinacea</t>
  </si>
  <si>
    <t>Comb-crested Jacana</t>
  </si>
  <si>
    <t>Isoodon auratus</t>
  </si>
  <si>
    <t>Golden Bandicoot</t>
  </si>
  <si>
    <t>Isoodon auratus auratus</t>
  </si>
  <si>
    <t>Golden Bandicoot (mainland)</t>
  </si>
  <si>
    <t>Isoodon auratus barrowensis</t>
  </si>
  <si>
    <t>Barrow Island Golden Bandicoot</t>
  </si>
  <si>
    <t>Isoodon fusciventer</t>
  </si>
  <si>
    <t>Quenda</t>
  </si>
  <si>
    <t>Isoodon macrourus</t>
  </si>
  <si>
    <t>Northern Brown Bandicoot</t>
  </si>
  <si>
    <t>Isoodon macrourus macrourus</t>
  </si>
  <si>
    <t>Ixalodectes flectocercus</t>
  </si>
  <si>
    <t>Beverley shield-back</t>
  </si>
  <si>
    <t>Ixobrychus dubius</t>
  </si>
  <si>
    <t>Australian Little Bittern</t>
  </si>
  <si>
    <t>Ixobrychus flavicollis</t>
  </si>
  <si>
    <t>Black Bittern</t>
  </si>
  <si>
    <t>Ixobrychus flavicollis australis</t>
  </si>
  <si>
    <t>Black Bittern (southwest subpop.)</t>
  </si>
  <si>
    <t>Ixobrychus sinensis</t>
  </si>
  <si>
    <t>Yellow Bittern</t>
  </si>
  <si>
    <t>Jalmenus aridus</t>
  </si>
  <si>
    <t>inland hairstreak</t>
  </si>
  <si>
    <t>Kawaniphila pachomai</t>
  </si>
  <si>
    <t>Grey Vernal Katydid (southwest)</t>
  </si>
  <si>
    <t>Kimberleyeleotris hutchinsi</t>
  </si>
  <si>
    <t>Mitchell Gudgeon</t>
  </si>
  <si>
    <t>Kimberleyeleotris notata</t>
  </si>
  <si>
    <t>Drysdale Gudgeon</t>
  </si>
  <si>
    <t>Kimboraga exanimus</t>
  </si>
  <si>
    <t>lifeless camaenid land snail (Mt Trafalgar)</t>
  </si>
  <si>
    <t>Kimboraga micromphala</t>
  </si>
  <si>
    <t>a camaenid land snail (Windjana and Geiki Gorges)</t>
  </si>
  <si>
    <t>Kimboraga yammerana</t>
  </si>
  <si>
    <t>Yammera Gap camaenid land snail (Napier Range)</t>
  </si>
  <si>
    <t>Kogia breviceps</t>
  </si>
  <si>
    <t>Pygmy Sperm Whale</t>
  </si>
  <si>
    <t>Kogia sima</t>
  </si>
  <si>
    <t>Dwarf Sperm Whale</t>
  </si>
  <si>
    <t>Kumonga exleyi</t>
  </si>
  <si>
    <t>Cape Range Remipede</t>
  </si>
  <si>
    <t>Kwonkan eboracum</t>
  </si>
  <si>
    <t>Yorkrakine Trapdoor Spider</t>
  </si>
  <si>
    <t>Kwonkan moriartii</t>
  </si>
  <si>
    <t>Moriarty's trapdoor spider</t>
  </si>
  <si>
    <t>Lacustroica whitei</t>
  </si>
  <si>
    <t>Grey Honeyeater</t>
  </si>
  <si>
    <t>Lagenodelphis hosei</t>
  </si>
  <si>
    <t>Fraser's Dolphin</t>
  </si>
  <si>
    <t>Lagenorhynchus obscurus</t>
  </si>
  <si>
    <t>Dusky Dolphin</t>
  </si>
  <si>
    <t>Lagorchestes asomatus</t>
  </si>
  <si>
    <t>Central Hare-wallaby</t>
  </si>
  <si>
    <t>Lagorchestes conspicillatus</t>
  </si>
  <si>
    <t>Spectacled Hare-wallaby</t>
  </si>
  <si>
    <t>Lagorchestes conspicillatus conspicillatus</t>
  </si>
  <si>
    <t>Barrow Island spectacled hare-wallaby</t>
  </si>
  <si>
    <t>Lagorchestes conspicillatus leichardti</t>
  </si>
  <si>
    <t>Spectacled Hare-wallaby (mainland)</t>
  </si>
  <si>
    <t>Lagorchestes hirsutus</t>
  </si>
  <si>
    <t>Rufous Hare-wallaby</t>
  </si>
  <si>
    <t>Lagorchestes hirsutus bernieri</t>
  </si>
  <si>
    <t>Shark Bay Rufous Hare-wallaby</t>
  </si>
  <si>
    <t>Lagorchestes hirsutus hirsutus</t>
  </si>
  <si>
    <t>Rufous Hare-wallaby (south-western)</t>
  </si>
  <si>
    <t>Lagorchestes hirsutus subsp. (Central Australia)</t>
  </si>
  <si>
    <t>rufous hare-wallaby (Central Australia)</t>
  </si>
  <si>
    <t>Lagostrophus fasciatus</t>
  </si>
  <si>
    <t>Banded Hare-wallaby</t>
  </si>
  <si>
    <t>Lagostrophus fasciatus fasciatus</t>
  </si>
  <si>
    <t>Banded hare-wallaby</t>
  </si>
  <si>
    <t>Lagynochthonius asema</t>
  </si>
  <si>
    <t>Mesa A Lagynochthonius pseudoscorpion</t>
  </si>
  <si>
    <t>Lalage leucomela</t>
  </si>
  <si>
    <t>Varied Triller</t>
  </si>
  <si>
    <t>Lalage leucomela rufiventris</t>
  </si>
  <si>
    <t>Lalage tricolor</t>
  </si>
  <si>
    <t>White-winged Triller</t>
  </si>
  <si>
    <t>Lanius tigrinus</t>
  </si>
  <si>
    <t>Tiger Shrike</t>
  </si>
  <si>
    <t>Larus atricilla</t>
  </si>
  <si>
    <t>Laughing Gull</t>
  </si>
  <si>
    <t>Larus atricilla [megalopterus]</t>
  </si>
  <si>
    <t>Larus crassirostris</t>
  </si>
  <si>
    <t>Black-tailed Gull</t>
  </si>
  <si>
    <t>Larus dominicanus</t>
  </si>
  <si>
    <t>Kelp Gull</t>
  </si>
  <si>
    <t>Larus dominicanus dominicanus</t>
  </si>
  <si>
    <t>Larus fuscus</t>
  </si>
  <si>
    <t>Lesser Black-backed Gull</t>
  </si>
  <si>
    <t>Larus novaehollandiae</t>
  </si>
  <si>
    <t>Silver Gull</t>
  </si>
  <si>
    <t>Larus novaehollandiae novaehollandiae</t>
  </si>
  <si>
    <t>Larus pacificus</t>
  </si>
  <si>
    <t>Pacific Gull</t>
  </si>
  <si>
    <t>Larus pacificus georgii</t>
  </si>
  <si>
    <t>Larus pipixcan</t>
  </si>
  <si>
    <t>Franklin's Gull</t>
  </si>
  <si>
    <t>Larus ridibundus</t>
  </si>
  <si>
    <t>Black-headed Gull</t>
  </si>
  <si>
    <t>Larus sabini</t>
  </si>
  <si>
    <t>Sabine's Gull</t>
  </si>
  <si>
    <t>Lasiorhinus latifrons</t>
  </si>
  <si>
    <t>Southern Hairy-nosed Wombat</t>
  </si>
  <si>
    <t>Leggadina forresti</t>
  </si>
  <si>
    <t>Forrest's Mouse</t>
  </si>
  <si>
    <t>Leggadina lakedownensis</t>
  </si>
  <si>
    <t>Northern Short-tailed Mouse</t>
  </si>
  <si>
    <t>Leiopotherapon aheneus</t>
  </si>
  <si>
    <t>Fortescue Grunter</t>
  </si>
  <si>
    <t>Leiopotherapon macrolepis</t>
  </si>
  <si>
    <t>Large-scale Grunter</t>
  </si>
  <si>
    <t>Leioproctus contrarius</t>
  </si>
  <si>
    <t>a short-tongued bee</t>
  </si>
  <si>
    <t>Leioproctus douglasiellus</t>
  </si>
  <si>
    <t>Leipoa ocellata</t>
  </si>
  <si>
    <t>Malleefowl</t>
  </si>
  <si>
    <t>Lepidochelys olivacea</t>
  </si>
  <si>
    <t>Olive Ridley Turtle</t>
  </si>
  <si>
    <t>Lepidogalaxias salamandroides</t>
  </si>
  <si>
    <t>Salamanderfish</t>
  </si>
  <si>
    <t>Leporillus apicalis</t>
  </si>
  <si>
    <t>Lesser Stick-nest Rat</t>
  </si>
  <si>
    <t>Leporillus conditor</t>
  </si>
  <si>
    <t>Greater Stick-nest Rat</t>
  </si>
  <si>
    <t>Lerista allochira</t>
  </si>
  <si>
    <t>Cape Range Slider</t>
  </si>
  <si>
    <t>Lerista amicorum</t>
  </si>
  <si>
    <t>Lerista apoda</t>
  </si>
  <si>
    <t>Lerista arenicola</t>
  </si>
  <si>
    <t>Lerista axillaris</t>
  </si>
  <si>
    <t>striped-sided robust slider (Kalbarri)</t>
  </si>
  <si>
    <t>Lerista baynesi</t>
  </si>
  <si>
    <t>Lerista bipes</t>
  </si>
  <si>
    <t>Lerista borealis</t>
  </si>
  <si>
    <t>Lerista bunglebungle</t>
  </si>
  <si>
    <t>Bungle Bungle robust slider</t>
  </si>
  <si>
    <t>Lerista christinae</t>
  </si>
  <si>
    <t>Lerista clara</t>
  </si>
  <si>
    <t>Lerista connivens</t>
  </si>
  <si>
    <t>Lerista desertorum</t>
  </si>
  <si>
    <t>Lerista distinguenda</t>
  </si>
  <si>
    <t>Lerista dorsalis</t>
  </si>
  <si>
    <t>Lerista elegans</t>
  </si>
  <si>
    <t>Lerista eupoda</t>
  </si>
  <si>
    <t>West Coast mulga slider</t>
  </si>
  <si>
    <t>Lerista flammicauda</t>
  </si>
  <si>
    <t>Lerista gascoynensis</t>
  </si>
  <si>
    <t>Lerista gerrardii</t>
  </si>
  <si>
    <t>Lerista greeri</t>
  </si>
  <si>
    <t>Lerista griffini</t>
  </si>
  <si>
    <t>Lerista haroldi</t>
  </si>
  <si>
    <t>Gnaraloo mulch-slider</t>
  </si>
  <si>
    <t>Lerista humphriesi</t>
  </si>
  <si>
    <t>taper-tailed West Coast slider (Murchison River)</t>
  </si>
  <si>
    <t>Lerista ips</t>
  </si>
  <si>
    <t>Lerista jacksoni</t>
  </si>
  <si>
    <t>Lerista kalumburu</t>
  </si>
  <si>
    <t>Kalumburu Kimberley slider</t>
  </si>
  <si>
    <t>Lerista kendricki</t>
  </si>
  <si>
    <t>Lerista kennedyensis</t>
  </si>
  <si>
    <t>Lerista kingi</t>
  </si>
  <si>
    <t>Lerista labialis</t>
  </si>
  <si>
    <t>Lerista lineata</t>
  </si>
  <si>
    <t>Perth Slider</t>
  </si>
  <si>
    <t>Lerista lineopunctulata</t>
  </si>
  <si>
    <t>Lerista macropisthopus</t>
  </si>
  <si>
    <t>Lerista macropisthopus fusciceps</t>
  </si>
  <si>
    <t>Lerista macropisthopus galea</t>
  </si>
  <si>
    <t>Lerista macropisthopus macropisthopus</t>
  </si>
  <si>
    <t>Lerista macropisthopus remota</t>
  </si>
  <si>
    <t>unpatterned robust slider (Robertson Range)</t>
  </si>
  <si>
    <t>Lerista micra</t>
  </si>
  <si>
    <t>Lerista microtis</t>
  </si>
  <si>
    <t>Lerista microtis intermedia</t>
  </si>
  <si>
    <t>Lerista microtis microtis</t>
  </si>
  <si>
    <t>Lerista muelleri</t>
  </si>
  <si>
    <t>Lerista neander</t>
  </si>
  <si>
    <t>Lerista nevinae</t>
  </si>
  <si>
    <t>Nevin's slider</t>
  </si>
  <si>
    <t>Lerista nichollsi</t>
  </si>
  <si>
    <t>Lerista occulta</t>
  </si>
  <si>
    <t>Lerista onsloviana</t>
  </si>
  <si>
    <t>Lerista orientalis</t>
  </si>
  <si>
    <t>Lerista petersoni</t>
  </si>
  <si>
    <t>Phantom Mole Slider</t>
  </si>
  <si>
    <t>Lerista picturata</t>
  </si>
  <si>
    <t>Lerista planiventralis</t>
  </si>
  <si>
    <t>Lerista planiventralis decora</t>
  </si>
  <si>
    <t>Lerista planiventralis maryani</t>
  </si>
  <si>
    <t>Maryan's keeled slider (Ashburton)</t>
  </si>
  <si>
    <t>Lerista planiventralis planiventralis</t>
  </si>
  <si>
    <t>Lerista praefrontalis</t>
  </si>
  <si>
    <t>Buccaneer burrowing skink</t>
  </si>
  <si>
    <t>Lerista praepedita</t>
  </si>
  <si>
    <t>Lerista puncticauda</t>
  </si>
  <si>
    <t>dotty-tailed robust slider (Great Victoria Desert)</t>
  </si>
  <si>
    <t>Lerista quadrivincula</t>
  </si>
  <si>
    <t>four-lined slider (Karratha)</t>
  </si>
  <si>
    <t>Lerista robusta</t>
  </si>
  <si>
    <t>broad-eyed slider (Kimberley)</t>
  </si>
  <si>
    <t>Lerista rolfei</t>
  </si>
  <si>
    <t>Lerista separanda</t>
  </si>
  <si>
    <t>Dampierland plain slider</t>
  </si>
  <si>
    <t>Lerista simillima</t>
  </si>
  <si>
    <t>Lerista stictopleura</t>
  </si>
  <si>
    <t>Lerista taeniata</t>
  </si>
  <si>
    <t>Lerista timida</t>
  </si>
  <si>
    <t>Lerista tridactyla</t>
  </si>
  <si>
    <t>Lerista uniduo</t>
  </si>
  <si>
    <t>Spotted Broad-blazed Slider</t>
  </si>
  <si>
    <t>Lerista varia</t>
  </si>
  <si>
    <t>Lerista verhmens</t>
  </si>
  <si>
    <t>Lerista vermicularis</t>
  </si>
  <si>
    <t>Lerista viduata</t>
  </si>
  <si>
    <t>Ravensthorpe Range slider</t>
  </si>
  <si>
    <t>Lerista walkeri</t>
  </si>
  <si>
    <t>Lerista xanthura</t>
  </si>
  <si>
    <t>Lerista yuna</t>
  </si>
  <si>
    <t>Yuna broad-blazed slider</t>
  </si>
  <si>
    <t>Lerista zietzi</t>
  </si>
  <si>
    <t>Lewinia pectoralis</t>
  </si>
  <si>
    <t>Lewin's Rail</t>
  </si>
  <si>
    <t>Lewinia pectoralis clelandi</t>
  </si>
  <si>
    <t>Western Australian Lewin’s rail</t>
  </si>
  <si>
    <t>Liagoceradocus branchialis</t>
  </si>
  <si>
    <t>Cape Range Liagoceradocus Amphipod</t>
  </si>
  <si>
    <t>Liagoceradocus subthalassicus</t>
  </si>
  <si>
    <t>Barrow Island Liagoceradocus Amphipod</t>
  </si>
  <si>
    <t>Lialis burtonis</t>
  </si>
  <si>
    <t>Liasis fuscus</t>
  </si>
  <si>
    <t>Water Python</t>
  </si>
  <si>
    <t>Liasis olivaceus</t>
  </si>
  <si>
    <t>Olive Python</t>
  </si>
  <si>
    <t>Liasis olivaceus barroni</t>
  </si>
  <si>
    <t>Pilbara Olive Python</t>
  </si>
  <si>
    <t>Liasis olivaceus olivaceus</t>
  </si>
  <si>
    <t>Lichenostomus cratitius</t>
  </si>
  <si>
    <t>Purple-gaped Honeyeater</t>
  </si>
  <si>
    <t>Lichenostomus cratitius occidentalis</t>
  </si>
  <si>
    <t>Lichenostomus leucotis</t>
  </si>
  <si>
    <t>White-eared Honeyeater</t>
  </si>
  <si>
    <t>Lichenostomus leucotis novaenorciae</t>
  </si>
  <si>
    <t>Lichmera indistincta</t>
  </si>
  <si>
    <t>Brown Honeyeater</t>
  </si>
  <si>
    <t>Lichmera indistincta indistincta</t>
  </si>
  <si>
    <t>Limicola falcinellus</t>
  </si>
  <si>
    <t>Broad-billed Sandpiper</t>
  </si>
  <si>
    <t>Limicola falcinellus falcinellus</t>
  </si>
  <si>
    <t>Limicola falcinellus sibiricus</t>
  </si>
  <si>
    <t>Limnodromus semipalmatus</t>
  </si>
  <si>
    <t>Asian Dowitcher</t>
  </si>
  <si>
    <t>Limnodynastes convexiusculus</t>
  </si>
  <si>
    <t>Marbled Frog</t>
  </si>
  <si>
    <t>Limnodynastes depressus</t>
  </si>
  <si>
    <t>Flat-headed Frog</t>
  </si>
  <si>
    <t>Limnodynastes dorsalis</t>
  </si>
  <si>
    <t>Western Banjo Frog</t>
  </si>
  <si>
    <t>Limnodynastes lignarius</t>
  </si>
  <si>
    <t>Carpenter Frog</t>
  </si>
  <si>
    <t>Limnodynastes tasmaniensis</t>
  </si>
  <si>
    <t>Spotted Grass Frog</t>
  </si>
  <si>
    <t>Limosa haemastica</t>
  </si>
  <si>
    <t>Hudsonian Godwit</t>
  </si>
  <si>
    <t>Limosa lapponica</t>
  </si>
  <si>
    <t>Bar-tailed Godwit</t>
  </si>
  <si>
    <t>Limosa lapponica baueri</t>
  </si>
  <si>
    <t>Bar-tailed Godwit (western Alaskan)</t>
  </si>
  <si>
    <t>VU (&amp; MI at sp. level)</t>
  </si>
  <si>
    <t>Limosa lapponica lapponica</t>
  </si>
  <si>
    <t>Limosa lapponica menzbieri</t>
  </si>
  <si>
    <t>Bar-tailed Godwit (northern Siberian)</t>
  </si>
  <si>
    <t>CR (&amp; MI at sp. level)</t>
  </si>
  <si>
    <t>Limosa limosa</t>
  </si>
  <si>
    <t>Black-tailed Godwit</t>
  </si>
  <si>
    <t>Limosa limosa melanuroides</t>
  </si>
  <si>
    <t>Liopholis inornata</t>
  </si>
  <si>
    <t>Desert Skink</t>
  </si>
  <si>
    <t>Liopholis kintorei</t>
  </si>
  <si>
    <t>Great Desert Skink</t>
  </si>
  <si>
    <t>Liopholis multiscutata</t>
  </si>
  <si>
    <t>Bull Skink</t>
  </si>
  <si>
    <t>Liopholis pulchra</t>
  </si>
  <si>
    <t>South-western Rock Skink</t>
  </si>
  <si>
    <t>Liopholis pulchra longicauda</t>
  </si>
  <si>
    <t>Jurien Bay Skink</t>
  </si>
  <si>
    <t>Liopholis pulchra pulchra</t>
  </si>
  <si>
    <t>Liopholis striata</t>
  </si>
  <si>
    <t>Night Skink</t>
  </si>
  <si>
    <t>Lissodelphis peronii</t>
  </si>
  <si>
    <t>Southern Right Whale Dolphin</t>
  </si>
  <si>
    <t>Lissolepis luctuosa</t>
  </si>
  <si>
    <t>Western Swamp Skink</t>
  </si>
  <si>
    <t>Litoria adelaidensis</t>
  </si>
  <si>
    <t>Slender Tree Frog</t>
  </si>
  <si>
    <t>Litoria aurifera</t>
  </si>
  <si>
    <t>Kimberley Rockhole Frog</t>
  </si>
  <si>
    <t>Litoria axillaris</t>
  </si>
  <si>
    <t>Kimberley Rocket Frog</t>
  </si>
  <si>
    <t>Litoria bicolor</t>
  </si>
  <si>
    <t>Northern Dwarf Tree Frog</t>
  </si>
  <si>
    <t>Litoria caerulea</t>
  </si>
  <si>
    <t>Green Tree Frog</t>
  </si>
  <si>
    <t>Litoria cavernicola</t>
  </si>
  <si>
    <t>Cave Frog</t>
  </si>
  <si>
    <t>Litoria coplandi</t>
  </si>
  <si>
    <t>Rock Frog</t>
  </si>
  <si>
    <t>Litoria cyclorhyncha</t>
  </si>
  <si>
    <t>Spotted-thighed Frog</t>
  </si>
  <si>
    <t>Litoria dahlii</t>
  </si>
  <si>
    <t>Dahl's Aquatic Frog</t>
  </si>
  <si>
    <t>Litoria inermis</t>
  </si>
  <si>
    <t>Bumpy Rocket Frog</t>
  </si>
  <si>
    <t>Litoria meiriana</t>
  </si>
  <si>
    <t>Rockhole Frog</t>
  </si>
  <si>
    <t>Litoria microbelos</t>
  </si>
  <si>
    <t>Javelin Frog</t>
  </si>
  <si>
    <t>Litoria moorei</t>
  </si>
  <si>
    <t>Motorbike Frog</t>
  </si>
  <si>
    <t>Litoria nasuta</t>
  </si>
  <si>
    <t>Striped Rocket Frog</t>
  </si>
  <si>
    <t>Litoria pallida</t>
  </si>
  <si>
    <t>Pale Rocket Frog</t>
  </si>
  <si>
    <t>Litoria rothii</t>
  </si>
  <si>
    <t>Northern Laughing Tree Frog</t>
  </si>
  <si>
    <t>Litoria rubella</t>
  </si>
  <si>
    <t>Little Red Tree Frog</t>
  </si>
  <si>
    <t>Litoria splendida</t>
  </si>
  <si>
    <t>Splendid Tree Frog</t>
  </si>
  <si>
    <t>Litoria staccato</t>
  </si>
  <si>
    <t>Chattering Rock Frog</t>
  </si>
  <si>
    <t>Litoria tornieri</t>
  </si>
  <si>
    <t>Black-shinned Rocket Frog</t>
  </si>
  <si>
    <t>Litoria watjulumensis</t>
  </si>
  <si>
    <t>Wotjulum Frog</t>
  </si>
  <si>
    <t>Lobodon carcinophagus</t>
  </si>
  <si>
    <t>Crab-eater Seal</t>
  </si>
  <si>
    <t>Locustella ochotensis</t>
  </si>
  <si>
    <t>Middendorff's Grasshopper Warbler</t>
  </si>
  <si>
    <t>Lonchura castaneothorax</t>
  </si>
  <si>
    <t>Chestnut-breasted Mannikin</t>
  </si>
  <si>
    <t>Lonchura castaneothorax castaneothorax</t>
  </si>
  <si>
    <t>Lonchura flaviprymna</t>
  </si>
  <si>
    <t>Yellow-rumped Mannikin</t>
  </si>
  <si>
    <t>Lonchura pallida</t>
  </si>
  <si>
    <t>Pale-headed Munia</t>
  </si>
  <si>
    <t>Lonchura punctulata</t>
  </si>
  <si>
    <t>Scaly-breasted Munia</t>
  </si>
  <si>
    <t>Lucasium alboguttatum</t>
  </si>
  <si>
    <t>Lucasium bungabinna</t>
  </si>
  <si>
    <t>Southern Sand Plain Gecko</t>
  </si>
  <si>
    <t>Lucasium damaeum</t>
  </si>
  <si>
    <t>Lucasium maini</t>
  </si>
  <si>
    <t>Lucasium squarrosum</t>
  </si>
  <si>
    <t>Lucasium stenodactylum</t>
  </si>
  <si>
    <t>Lucasium wombeyi</t>
  </si>
  <si>
    <t>Macroderma gigas</t>
  </si>
  <si>
    <t>Ghost Bat</t>
  </si>
  <si>
    <t>Macroglossus minimus</t>
  </si>
  <si>
    <t>Northern Blossom-bat</t>
  </si>
  <si>
    <t>Macroglossus minimus pygmaeus</t>
  </si>
  <si>
    <t>Macronectes giganteus</t>
  </si>
  <si>
    <t>Southern Giant Petrel</t>
  </si>
  <si>
    <t>Macronectes halli</t>
  </si>
  <si>
    <t>Northern Giant Petrel</t>
  </si>
  <si>
    <t>Macropus agilis</t>
  </si>
  <si>
    <t>Agile Wallaby</t>
  </si>
  <si>
    <t>Macropus antilopinus</t>
  </si>
  <si>
    <t>Antilopine Wallaroo</t>
  </si>
  <si>
    <t>Macropus fuliginosus</t>
  </si>
  <si>
    <t>Western Grey Kangaroo</t>
  </si>
  <si>
    <t>Macropus fuliginosus melanops</t>
  </si>
  <si>
    <t>Macropus robustus erubescens</t>
  </si>
  <si>
    <t>Euro</t>
  </si>
  <si>
    <t>Macropus rufus</t>
  </si>
  <si>
    <t>Red Kangaroo</t>
  </si>
  <si>
    <t>Macrotis lagotis</t>
  </si>
  <si>
    <t>Bilby</t>
  </si>
  <si>
    <t>Macrotis leucura</t>
  </si>
  <si>
    <t>Lesser Bilby</t>
  </si>
  <si>
    <t>Malacorhynchus membranaceus</t>
  </si>
  <si>
    <t>Pink-eared Duck</t>
  </si>
  <si>
    <t>Malurus coronatus</t>
  </si>
  <si>
    <t>Purple-crowned Fairy-wren</t>
  </si>
  <si>
    <t>Malurus coronatus coronatus</t>
  </si>
  <si>
    <t>Purple-crowned Fairy-wren (western)</t>
  </si>
  <si>
    <t>Malurus elegans</t>
  </si>
  <si>
    <t>Red-winged Fairy-wren</t>
  </si>
  <si>
    <t>Malurus lamberti</t>
  </si>
  <si>
    <t>Variegated Fairy-wren</t>
  </si>
  <si>
    <t>Malurus lamberti assimilis</t>
  </si>
  <si>
    <t>Malurus lamberti bernieri</t>
  </si>
  <si>
    <t>Shark Bay varigated fairy-wren</t>
  </si>
  <si>
    <t>Malurus lamberti rogersi</t>
  </si>
  <si>
    <t>Malurus leucopterus</t>
  </si>
  <si>
    <t>White-winged Fairy-wren</t>
  </si>
  <si>
    <t>Malurus leucopterus edouardi</t>
  </si>
  <si>
    <t>Barrow Island black and white fairy-wren</t>
  </si>
  <si>
    <t>Malurus leucopterus leuconotus</t>
  </si>
  <si>
    <t>Malurus leucopterus leucopterus</t>
  </si>
  <si>
    <t>Dirk Hartog black and white fairy-wren</t>
  </si>
  <si>
    <t>Malurus melanocephalus</t>
  </si>
  <si>
    <t>Red-backed Fairy-wren</t>
  </si>
  <si>
    <t>Malurus melanocephalus cruentatus</t>
  </si>
  <si>
    <t>Malurus pulcherrimus</t>
  </si>
  <si>
    <t>Blue-breasted Fairy-wren</t>
  </si>
  <si>
    <t>Malurus splendens</t>
  </si>
  <si>
    <t>Splendid Fairy-wren</t>
  </si>
  <si>
    <t>Malurus splendens callainus</t>
  </si>
  <si>
    <t>Malurus splendens splendens</t>
  </si>
  <si>
    <t>Manorina flavigula</t>
  </si>
  <si>
    <t>Yellow-throated Miner</t>
  </si>
  <si>
    <t>Maratus sarahae</t>
  </si>
  <si>
    <t>Sarah's Peacock Spider</t>
  </si>
  <si>
    <t>Megalurus cruralis</t>
  </si>
  <si>
    <t>Brown Songlark</t>
  </si>
  <si>
    <t>Megalurus gramineus</t>
  </si>
  <si>
    <t>Little Grassbird</t>
  </si>
  <si>
    <t>Megalurus gramineus gramineus</t>
  </si>
  <si>
    <t>Megalurus mathewsi</t>
  </si>
  <si>
    <t>Rufous Songlark</t>
  </si>
  <si>
    <t>Megalurus timoriensis</t>
  </si>
  <si>
    <t>Tawny Grassbird</t>
  </si>
  <si>
    <t>Megalurus timoriensis alisteri</t>
  </si>
  <si>
    <t>Megapodius reinwardt</t>
  </si>
  <si>
    <t>Orange-footed Scrubfowl</t>
  </si>
  <si>
    <t>Megapodius reinwardt tumulus</t>
  </si>
  <si>
    <t>Megaptera novaeangliae</t>
  </si>
  <si>
    <t>Humpback Whale</t>
  </si>
  <si>
    <t>Melanodryas cucullata</t>
  </si>
  <si>
    <t>Hooded Robin</t>
  </si>
  <si>
    <t>Melanotaenia pygmaea</t>
  </si>
  <si>
    <t>Pygmy Rainbowfish</t>
  </si>
  <si>
    <t>Meliphaga albilineata</t>
  </si>
  <si>
    <t>White-lined Honeyeater</t>
  </si>
  <si>
    <t>Meliphaga albilineata fordiana</t>
  </si>
  <si>
    <t>Kimberley White-lined Honeyeater</t>
  </si>
  <si>
    <t>Melithreptus albogularis</t>
  </si>
  <si>
    <t>White-throated Honeyeater</t>
  </si>
  <si>
    <t>Melithreptus albogularis albogularis</t>
  </si>
  <si>
    <t>Melithreptus brevirostris</t>
  </si>
  <si>
    <t>Brown-headed Honeyeater</t>
  </si>
  <si>
    <t>Melithreptus brevirostris leucogenys</t>
  </si>
  <si>
    <t>Melithreptus chloropsis</t>
  </si>
  <si>
    <t>Western White-naped Honeyeater</t>
  </si>
  <si>
    <t>Melithreptus cyanotis</t>
  </si>
  <si>
    <t>Blue-faced Honeyeater</t>
  </si>
  <si>
    <t>Melithreptus cyanotis albipennis</t>
  </si>
  <si>
    <t>Melithreptus gularis</t>
  </si>
  <si>
    <t>Black-chinned Honeyeater</t>
  </si>
  <si>
    <t>Melithreptus gularis laetior</t>
  </si>
  <si>
    <t>Melomys burtoni</t>
  </si>
  <si>
    <t>Grassland Melomys</t>
  </si>
  <si>
    <t>Melopsittacus undulatus</t>
  </si>
  <si>
    <t>Budgerigar</t>
  </si>
  <si>
    <t>Menetia greyii</t>
  </si>
  <si>
    <t>Menetia maini</t>
  </si>
  <si>
    <t>Menetia surda</t>
  </si>
  <si>
    <t>Menetia surda cresswelli</t>
  </si>
  <si>
    <t>Menetia surda surda</t>
  </si>
  <si>
    <t>Merops ornatus</t>
  </si>
  <si>
    <t>Rainbow Bee-eater</t>
  </si>
  <si>
    <t>Mesembriomys gouldii</t>
  </si>
  <si>
    <t>Black-footed Tree-rat</t>
  </si>
  <si>
    <t>Mesembriomys gouldii gouldii</t>
  </si>
  <si>
    <t>Mesembriomys macrurus</t>
  </si>
  <si>
    <t>Golden-backed Tree-rat</t>
  </si>
  <si>
    <t>Mesoplodon bowdoini</t>
  </si>
  <si>
    <t>Andrew's Beaked Whale</t>
  </si>
  <si>
    <t>Mesoplodon densirostris</t>
  </si>
  <si>
    <t>Blainville's Beaked Whale</t>
  </si>
  <si>
    <t>Mesoplodon grayi</t>
  </si>
  <si>
    <t>Gray's Beaked Whale</t>
  </si>
  <si>
    <t>Mesoplodon hectori</t>
  </si>
  <si>
    <t>Hector's Beaked Whale</t>
  </si>
  <si>
    <t>Mesoplodon layardii</t>
  </si>
  <si>
    <t>Strap-toothed Beaked Whale</t>
  </si>
  <si>
    <t>Mesoplodon mirus</t>
  </si>
  <si>
    <t>True's Beaked Whale</t>
  </si>
  <si>
    <t>Metacrinia nichollsi</t>
  </si>
  <si>
    <t>Forest Toadlet</t>
  </si>
  <si>
    <t>Microeca fascinans</t>
  </si>
  <si>
    <t>Jacky Winter</t>
  </si>
  <si>
    <t>Microeca fascinans assimilis</t>
  </si>
  <si>
    <t>Microeca fascinans fascinans</t>
  </si>
  <si>
    <t>Microeca flavigaster</t>
  </si>
  <si>
    <t>Lemon-breasted Flycatcher</t>
  </si>
  <si>
    <t>Microeca flavigaster flavigaster</t>
  </si>
  <si>
    <t>Microeca flavigaster tormenti</t>
  </si>
  <si>
    <t>Kimberley Flycatcher</t>
  </si>
  <si>
    <t>Milvus migrans</t>
  </si>
  <si>
    <t>Black Kite</t>
  </si>
  <si>
    <t>Milvus migrans affinis</t>
  </si>
  <si>
    <t>Milyeringa justitia</t>
  </si>
  <si>
    <t>Barrow Cave Gudgeon</t>
  </si>
  <si>
    <t>Milyeringa veritas</t>
  </si>
  <si>
    <t>Cave Gudgeon</t>
  </si>
  <si>
    <t>Miniopterus schreibersii</t>
  </si>
  <si>
    <t>Common Bentwing-bat</t>
  </si>
  <si>
    <t>Miniopterus schreibersii orianae</t>
  </si>
  <si>
    <t>Northern Bentwing-bat</t>
  </si>
  <si>
    <t>Mirafra javanica</t>
  </si>
  <si>
    <t>Horsfield's Bushlark</t>
  </si>
  <si>
    <t>Mirafra javanica horsfieldii</t>
  </si>
  <si>
    <t>Mirounga leonina</t>
  </si>
  <si>
    <t>Southern Elephant Seal</t>
  </si>
  <si>
    <t>Moloch horridus</t>
  </si>
  <si>
    <t>Thorny Devil</t>
  </si>
  <si>
    <t>Monarcha cinerascens</t>
  </si>
  <si>
    <t>Island Monarch</t>
  </si>
  <si>
    <t>Monarcha melanopsis</t>
  </si>
  <si>
    <t>Black-faced Monarch</t>
  </si>
  <si>
    <t>Monticola solitarius</t>
  </si>
  <si>
    <t>Blue Rock Thrush</t>
  </si>
  <si>
    <t>Morelia carinata</t>
  </si>
  <si>
    <t>Rough-scaled Python</t>
  </si>
  <si>
    <t>Morelia spilota</t>
  </si>
  <si>
    <t>Carpet Python</t>
  </si>
  <si>
    <t>Morelia spilota imbricata</t>
  </si>
  <si>
    <t>Morelia spilota variegata</t>
  </si>
  <si>
    <t>Morethia adelaidensis</t>
  </si>
  <si>
    <t>Morethia boulengeri</t>
  </si>
  <si>
    <t>Morethia butleri</t>
  </si>
  <si>
    <t>Morethia lineoocellata</t>
  </si>
  <si>
    <t>Morethia obscura</t>
  </si>
  <si>
    <t>Morethia ruficauda</t>
  </si>
  <si>
    <t>Morethia ruficauda exquisita</t>
  </si>
  <si>
    <t>Morethia ruficauda ruficauda</t>
  </si>
  <si>
    <t>Morethia storri</t>
  </si>
  <si>
    <t>Mormopterus cobourgianus</t>
  </si>
  <si>
    <t>North-western Free-tailed Bat</t>
  </si>
  <si>
    <t>Mormopterus eleryi</t>
  </si>
  <si>
    <t>Hairy-nosed Freetail-bat</t>
  </si>
  <si>
    <t>Mormopterus kitcheneri</t>
  </si>
  <si>
    <t>South-western Free-tailed Bat</t>
  </si>
  <si>
    <t>Mormopterus loriae</t>
  </si>
  <si>
    <t>Little Northern Freetail-bat</t>
  </si>
  <si>
    <t>Mormopterus lumsdenae</t>
  </si>
  <si>
    <t>Northern Free-tailed Bat</t>
  </si>
  <si>
    <t>Mormopterus petersi</t>
  </si>
  <si>
    <t>Inland Free-tailed Bat</t>
  </si>
  <si>
    <t>Morus capensis</t>
  </si>
  <si>
    <t>Cape Gannet</t>
  </si>
  <si>
    <t>Morus serrator</t>
  </si>
  <si>
    <t>Australasian Gannet</t>
  </si>
  <si>
    <t>Motacilla alba</t>
  </si>
  <si>
    <t>White Wagtail</t>
  </si>
  <si>
    <t>Motacilla alba lugens</t>
  </si>
  <si>
    <t>Motacilla alba ocularis</t>
  </si>
  <si>
    <t>Motacilla cinerea</t>
  </si>
  <si>
    <t>Grey Wagtail</t>
  </si>
  <si>
    <t>Motacilla cinerea robusta</t>
  </si>
  <si>
    <t>Motacilla flava</t>
  </si>
  <si>
    <t>Yellow Wagtail</t>
  </si>
  <si>
    <t>Motacilla flava macronyx</t>
  </si>
  <si>
    <t>Motacilla flava plexa</t>
  </si>
  <si>
    <t>Motacilla flava simillima</t>
  </si>
  <si>
    <t>Motacilla flava taivana</t>
  </si>
  <si>
    <t>Mouldingia occidentalis</t>
  </si>
  <si>
    <t>a camaenid land snail (eastern Napier Ranges)</t>
  </si>
  <si>
    <t>Mus musculus</t>
  </si>
  <si>
    <t>House Mouse</t>
  </si>
  <si>
    <t>Muscicapa griseisticta</t>
  </si>
  <si>
    <t>Grey-streaked Flycatcher</t>
  </si>
  <si>
    <t>Muscicapa latirostris</t>
  </si>
  <si>
    <t>Asian Brown Flycatcher</t>
  </si>
  <si>
    <t>Muscicapa sibirica</t>
  </si>
  <si>
    <t>Sooty Flycatcher</t>
  </si>
  <si>
    <t>Muscicapa sibirica [sibirica]</t>
  </si>
  <si>
    <t>Mustela putorius</t>
  </si>
  <si>
    <t>European Polecat</t>
  </si>
  <si>
    <t>Myiagra alecto</t>
  </si>
  <si>
    <t>Shining Flycatcher</t>
  </si>
  <si>
    <t>Myiagra alecto melvillensis</t>
  </si>
  <si>
    <t>Myiagra cyanoleuca</t>
  </si>
  <si>
    <t>Satin Flycatcher</t>
  </si>
  <si>
    <t>Myiagra inquieta</t>
  </si>
  <si>
    <t>Restless Flycatcher</t>
  </si>
  <si>
    <t>Myiagra inquieta inquieta</t>
  </si>
  <si>
    <t>Myiagra inquieta nana</t>
  </si>
  <si>
    <t>Myiagra rubecula</t>
  </si>
  <si>
    <t>Leaden Flycatcher</t>
  </si>
  <si>
    <t>Myiagra rubecula concinna</t>
  </si>
  <si>
    <t>Myiagra ruficollis</t>
  </si>
  <si>
    <t>Broad-billed Flycatcher</t>
  </si>
  <si>
    <t>Myiagra ruficollis mimikae</t>
  </si>
  <si>
    <t>Myobatrachus gouldii</t>
  </si>
  <si>
    <t>Turtle Frog</t>
  </si>
  <si>
    <t>Myotis macropus</t>
  </si>
  <si>
    <t>Large-footed Myotis</t>
  </si>
  <si>
    <t>Myrmecobius fasciatus</t>
  </si>
  <si>
    <t>Numbat</t>
  </si>
  <si>
    <t>Myrmecobius fasciatus fasciatus</t>
  </si>
  <si>
    <t>Myron resetari</t>
  </si>
  <si>
    <t>mangrove snake</t>
  </si>
  <si>
    <t>Myron richardsonii</t>
  </si>
  <si>
    <t>Myzomela erythrocephala</t>
  </si>
  <si>
    <t>Red-headed Honeyeater</t>
  </si>
  <si>
    <t>Myzomela erythrocephala erythrocephala</t>
  </si>
  <si>
    <t>Myzomela obscura</t>
  </si>
  <si>
    <t>Dusky Honeyeater</t>
  </si>
  <si>
    <t>Myzomela obscura obscura</t>
  </si>
  <si>
    <t>Nannatherina balstoni</t>
  </si>
  <si>
    <t>Balston's Pygmy Perch</t>
  </si>
  <si>
    <t>Nannoperca pygmaea</t>
  </si>
  <si>
    <t>Little Pygmy Perch</t>
  </si>
  <si>
    <t>Nanotrachia orientalis</t>
  </si>
  <si>
    <t>Natator depressus</t>
  </si>
  <si>
    <t>Flatback Turtle</t>
  </si>
  <si>
    <t>Nedsia chevronia</t>
  </si>
  <si>
    <t>Chevron's freshwater amphipod (Barrow Island)</t>
  </si>
  <si>
    <t>Nedsia fragilis</t>
  </si>
  <si>
    <t>a freshwater amphipod</t>
  </si>
  <si>
    <t>Nedsia humphreysi</t>
  </si>
  <si>
    <t>Nedsia hurlberti</t>
  </si>
  <si>
    <t>Nedsia macrosculptilis</t>
  </si>
  <si>
    <t>Nedsia sculptilis</t>
  </si>
  <si>
    <t>Nedsia straskraba</t>
  </si>
  <si>
    <t>Nedsia urifimbriata</t>
  </si>
  <si>
    <t>Neelaps bimaculatus</t>
  </si>
  <si>
    <t>Black-naped Snake</t>
  </si>
  <si>
    <t>Neelaps calonotos</t>
  </si>
  <si>
    <t>Black-striped Snake</t>
  </si>
  <si>
    <t>Neobatrachus albipes</t>
  </si>
  <si>
    <t>White-footed Trilling Frog</t>
  </si>
  <si>
    <t>Neobatrachus aquilonius</t>
  </si>
  <si>
    <t>Northern Burrowing Frog</t>
  </si>
  <si>
    <t>Neobatrachus fulvus</t>
  </si>
  <si>
    <t>Tawny Trilling Frog</t>
  </si>
  <si>
    <t>Neobatrachus kunapalari</t>
  </si>
  <si>
    <t>Kunapalari Frog</t>
  </si>
  <si>
    <t>Neobatrachus pelobatoides</t>
  </si>
  <si>
    <t>Humming Frog</t>
  </si>
  <si>
    <t>Neobatrachus sudellae</t>
  </si>
  <si>
    <t>Desert Trilling Frog</t>
  </si>
  <si>
    <t>Neobatrachus sutor</t>
  </si>
  <si>
    <t>Shoemaker Frog</t>
  </si>
  <si>
    <t>Neobatrachus wilsmorei</t>
  </si>
  <si>
    <t>Plonking Frog</t>
  </si>
  <si>
    <t>Neochmia phaeton</t>
  </si>
  <si>
    <t>Crimson Finch</t>
  </si>
  <si>
    <t>Neochmia phaeton phaeton</t>
  </si>
  <si>
    <t>Neochmia ruficauda</t>
  </si>
  <si>
    <t>Star Finch</t>
  </si>
  <si>
    <t>Neochmia ruficauda clarescens</t>
  </si>
  <si>
    <t>Neochmia temporalis</t>
  </si>
  <si>
    <t>Red-browed Finch</t>
  </si>
  <si>
    <t>Neochmia temporalis temporalis</t>
  </si>
  <si>
    <t>Neopasiphae simplicior</t>
  </si>
  <si>
    <t>Neophema bourkii</t>
  </si>
  <si>
    <t>Bourke's Parrot</t>
  </si>
  <si>
    <t>Neophema elegans</t>
  </si>
  <si>
    <t>Elegant Parrot</t>
  </si>
  <si>
    <t>Neophema petrophila</t>
  </si>
  <si>
    <t>Rock Parrot</t>
  </si>
  <si>
    <t>Neophema splendida</t>
  </si>
  <si>
    <t>Scarlet-chested Parrot</t>
  </si>
  <si>
    <t>Neophoca cinerea</t>
  </si>
  <si>
    <t>Australian Sea-lion</t>
  </si>
  <si>
    <t>Nephrurus amyae</t>
  </si>
  <si>
    <t>Nephrurus asper</t>
  </si>
  <si>
    <t>Prickly Knob-tailed Gecko</t>
  </si>
  <si>
    <t>Nephrurus laevissimus</t>
  </si>
  <si>
    <t>Nephrurus levis</t>
  </si>
  <si>
    <t>Nephrurus levis levis</t>
  </si>
  <si>
    <t>Nephrurus levis occidentalis</t>
  </si>
  <si>
    <t>Nephrurus levis pilbarensis</t>
  </si>
  <si>
    <t>Nephrurus sheai</t>
  </si>
  <si>
    <t>Nephrurus stellatus</t>
  </si>
  <si>
    <t>Nephrurus vertebralis</t>
  </si>
  <si>
    <t>Nephrurus wheeleri</t>
  </si>
  <si>
    <t>Nephrurus wheeleri cinctus</t>
  </si>
  <si>
    <t>Nephrurus wheeleri wheeleri</t>
  </si>
  <si>
    <t>Nettapus pulchellus</t>
  </si>
  <si>
    <t>Green Pygmy-goose</t>
  </si>
  <si>
    <t>Ningaui ridei</t>
  </si>
  <si>
    <t>Wongai Ningaui</t>
  </si>
  <si>
    <t>Ningaui timealeyi</t>
  </si>
  <si>
    <t>Pilbara Ningaui</t>
  </si>
  <si>
    <t>Ningaui yvonneae</t>
  </si>
  <si>
    <t>Southern Ningaui</t>
  </si>
  <si>
    <t>Ningbingia australis</t>
  </si>
  <si>
    <t>a camaenid land snail (Ningbing Ranges)</t>
  </si>
  <si>
    <t>Ningbingia australis australis</t>
  </si>
  <si>
    <t>Ningbingia australis elongata</t>
  </si>
  <si>
    <t>Ningbingia bulla</t>
  </si>
  <si>
    <t>Knob Peak camaenid land snail (Ningbing Ranges)</t>
  </si>
  <si>
    <t>Ningbingia dentiens</t>
  </si>
  <si>
    <t>Ningbingia laurina</t>
  </si>
  <si>
    <t>Lauries' camaenid land snail (Ningbing Ranges)</t>
  </si>
  <si>
    <t>Ningbingia octava</t>
  </si>
  <si>
    <t>No. 8 Bore camaenid land snail (Ningbing Ranges)</t>
  </si>
  <si>
    <t>Ningbingia res</t>
  </si>
  <si>
    <t>Ninox boobook</t>
  </si>
  <si>
    <t>Boobook Owl</t>
  </si>
  <si>
    <t>Ninox boobook boobook</t>
  </si>
  <si>
    <t>Southern Boobook</t>
  </si>
  <si>
    <t>Ninox connivens</t>
  </si>
  <si>
    <t>Barking Owl</t>
  </si>
  <si>
    <t>Ninox connivens connivens</t>
  </si>
  <si>
    <t>Barking owl (southwest subpop.)</t>
  </si>
  <si>
    <t>Ninox japonica</t>
  </si>
  <si>
    <t>Northern Boobook</t>
  </si>
  <si>
    <t>Ninox rufa</t>
  </si>
  <si>
    <t>Rufous Owl</t>
  </si>
  <si>
    <t>Ninox rufa rufa</t>
  </si>
  <si>
    <t>Ninox scutulata</t>
  </si>
  <si>
    <t>Brown Hawk-owl</t>
  </si>
  <si>
    <t>Nocticola flabella</t>
  </si>
  <si>
    <t>Cape Range delicate cockroach</t>
  </si>
  <si>
    <t>Northiella haematogaster</t>
  </si>
  <si>
    <t>Blue Bonnet</t>
  </si>
  <si>
    <t>Northiella narethae</t>
  </si>
  <si>
    <t>Naretha Blue Bonnet</t>
  </si>
  <si>
    <t>Nososticta pilbara</t>
  </si>
  <si>
    <t>Pilbara threadtail</t>
  </si>
  <si>
    <t>Notaden melanoscaphus</t>
  </si>
  <si>
    <t>Northern Spadefoot</t>
  </si>
  <si>
    <t>Notaden nichollsi</t>
  </si>
  <si>
    <t>Desert Spadefoot</t>
  </si>
  <si>
    <t>Notaden weigeli</t>
  </si>
  <si>
    <t>Kimberley Spadefoot</t>
  </si>
  <si>
    <t>Notamacropus eugenii</t>
  </si>
  <si>
    <t>Tammar Wallaby</t>
  </si>
  <si>
    <t>Notamacropus eugenii derbianus</t>
  </si>
  <si>
    <t>Notamacropus irma</t>
  </si>
  <si>
    <t>Western Brush Wallaby</t>
  </si>
  <si>
    <t>Notechis scutatus</t>
  </si>
  <si>
    <t>Tiger Snake</t>
  </si>
  <si>
    <t>Notomys alexis</t>
  </si>
  <si>
    <t>Spinifex Hopping-mouse</t>
  </si>
  <si>
    <t>Notomys alexis alexis</t>
  </si>
  <si>
    <t>Notomys amplus</t>
  </si>
  <si>
    <t>Short-tailed Hopping-mouse</t>
  </si>
  <si>
    <t>Notomys longicaudatus</t>
  </si>
  <si>
    <t>Long-tailed Hopping-mouse</t>
  </si>
  <si>
    <t>Notomys macrotis</t>
  </si>
  <si>
    <t>Big-eared Hopping-mouse</t>
  </si>
  <si>
    <t>Notomys mitchellii</t>
  </si>
  <si>
    <t>Mitchell's Hopping-mouse</t>
  </si>
  <si>
    <t>Notoryctes caurinus</t>
  </si>
  <si>
    <t>Northern Marsupial Mole</t>
  </si>
  <si>
    <t>Notoryctes sp.</t>
  </si>
  <si>
    <t>marsupial mole</t>
  </si>
  <si>
    <t>Notoryctes typhlops</t>
  </si>
  <si>
    <t>Southern Marsupial Mole</t>
  </si>
  <si>
    <t>Notoscincus butleri</t>
  </si>
  <si>
    <t>lined soil-crevice skink (Dampier)</t>
  </si>
  <si>
    <t>Notoscincus ornatus</t>
  </si>
  <si>
    <t>Notoscincus ornatus ornatus</t>
  </si>
  <si>
    <t>Notoscincus ornatus wotjulum</t>
  </si>
  <si>
    <t>Numenius arquata</t>
  </si>
  <si>
    <t>Eurasian Curlew</t>
  </si>
  <si>
    <t>Numenius arquata orientalis</t>
  </si>
  <si>
    <t>Numenius madagascariensis</t>
  </si>
  <si>
    <t>Eastern Curlew</t>
  </si>
  <si>
    <t>Numenius minutus</t>
  </si>
  <si>
    <t>Little Curlew</t>
  </si>
  <si>
    <t>Numenius phaeopus</t>
  </si>
  <si>
    <t>Whimbrel</t>
  </si>
  <si>
    <t>Numenius phaeopus variegatus</t>
  </si>
  <si>
    <t>Nycticorax caledonicus</t>
  </si>
  <si>
    <t>Rufous Night Heron</t>
  </si>
  <si>
    <t>Nycticorax caledonicus australasiae</t>
  </si>
  <si>
    <t>Nycticorax nycticorax</t>
  </si>
  <si>
    <t>Black-crowned Night-heron</t>
  </si>
  <si>
    <t>Nycticorax nycticorax nycticorax</t>
  </si>
  <si>
    <t>Nyctophilus arnhemensis</t>
  </si>
  <si>
    <t>Arnhem Land Long-eared Bat</t>
  </si>
  <si>
    <t>Nyctophilus bifax</t>
  </si>
  <si>
    <t>Eastern Long-eared Bat</t>
  </si>
  <si>
    <t>Nyctophilus daedalus</t>
  </si>
  <si>
    <t>Northwestern Long-eared Bat</t>
  </si>
  <si>
    <t>Nyctophilus geoffroyi</t>
  </si>
  <si>
    <t>Lesser Long-eared Bat</t>
  </si>
  <si>
    <t>Nyctophilus geoffroyi geoffroyi</t>
  </si>
  <si>
    <t>Nyctophilus gouldi</t>
  </si>
  <si>
    <t>Gould's Long-eared Bat</t>
  </si>
  <si>
    <t>Nyctophilus major</t>
  </si>
  <si>
    <t>Greater Long-eared Bat</t>
  </si>
  <si>
    <t>Nyctophilus major major</t>
  </si>
  <si>
    <t>Southwestern Long-eared Bat</t>
  </si>
  <si>
    <t>Nyctophilus major tor</t>
  </si>
  <si>
    <t>Central Long-eared Bat</t>
  </si>
  <si>
    <t>Nyctophilus walkeri</t>
  </si>
  <si>
    <t>Pygmy Long-eared Bat</t>
  </si>
  <si>
    <t>Nymphicus hollandicus</t>
  </si>
  <si>
    <t>Cockatiel</t>
  </si>
  <si>
    <t>Occirhenea georgiana</t>
  </si>
  <si>
    <t>rhytidid land snail</t>
  </si>
  <si>
    <t>Oceanites oceanicus</t>
  </si>
  <si>
    <t>Wilson's Storm-petrel</t>
  </si>
  <si>
    <t>Oceanites oceanicus oceanicus</t>
  </si>
  <si>
    <t>Wilson's Storm Petrel</t>
  </si>
  <si>
    <t>Oceanodroma leucorhoa</t>
  </si>
  <si>
    <t>Leach's Storm Petrel</t>
  </si>
  <si>
    <t>Oceanodroma leucorhoa leucorhoa</t>
  </si>
  <si>
    <t>Oceanodroma matsudariae</t>
  </si>
  <si>
    <t>Matsudaira's Storm Petrel</t>
  </si>
  <si>
    <t>Ocyphaps lophotes</t>
  </si>
  <si>
    <t>Crested Pigeon</t>
  </si>
  <si>
    <t>Oedura filicipoda</t>
  </si>
  <si>
    <t>Oedura gracilis</t>
  </si>
  <si>
    <t>Oedura marmorata</t>
  </si>
  <si>
    <t>Marbled Velvet Gecko</t>
  </si>
  <si>
    <t>Oedura murramanu</t>
  </si>
  <si>
    <t>Limestone Range Velvet Gecko</t>
  </si>
  <si>
    <t>Ogyris subterrestris</t>
  </si>
  <si>
    <t>Bronze Azure Butterfly</t>
  </si>
  <si>
    <t>Ogyris subterrestris petrina</t>
  </si>
  <si>
    <t>Arid Bronze Azure Butterfly</t>
  </si>
  <si>
    <t>Onychogalea lunata</t>
  </si>
  <si>
    <t>Crescent Nailtail Wallaby</t>
  </si>
  <si>
    <t>Onychogalea unguifera</t>
  </si>
  <si>
    <t>Northern Nailtail Wallaby</t>
  </si>
  <si>
    <t>Onychogalea unguifera unguifera</t>
  </si>
  <si>
    <t>Onychoprion anaethetus</t>
  </si>
  <si>
    <t>Bridled Tern</t>
  </si>
  <si>
    <t>Ophisternon candidum</t>
  </si>
  <si>
    <t>Blind Cave Eel</t>
  </si>
  <si>
    <t>Orcaella heinsohni</t>
  </si>
  <si>
    <t>Australian Snubfin Dolphin</t>
  </si>
  <si>
    <t>Orcinus orca</t>
  </si>
  <si>
    <t>Killer Whale</t>
  </si>
  <si>
    <t>Ordtrachia elegans</t>
  </si>
  <si>
    <t>a camaenid land snail (Jeremiah Hills)</t>
  </si>
  <si>
    <t>Ordtrachia septentrionalis</t>
  </si>
  <si>
    <t>Rosewood keeled snail</t>
  </si>
  <si>
    <t>Oreoica gutturalis</t>
  </si>
  <si>
    <t>Crested Bellbird</t>
  </si>
  <si>
    <t>Oreoica gutturalis gutturalis</t>
  </si>
  <si>
    <t>Crested Bellbird (southern)</t>
  </si>
  <si>
    <t>Oreoica gutturalis pallescens</t>
  </si>
  <si>
    <t>Oriolus flavocinctus</t>
  </si>
  <si>
    <t>Yellow Oriole</t>
  </si>
  <si>
    <t>Oriolus flavocinctus flavocinctus</t>
  </si>
  <si>
    <t>Oriolus sagittatus</t>
  </si>
  <si>
    <t>Olive-backed Oriole</t>
  </si>
  <si>
    <t>Oriolus sagittatus affinis</t>
  </si>
  <si>
    <t>Oryctolagus cuniculus</t>
  </si>
  <si>
    <t>Rabbit</t>
  </si>
  <si>
    <t>Osphranter robustus</t>
  </si>
  <si>
    <t>Osphranter robustus isabellinus</t>
  </si>
  <si>
    <t>Barrow Island Euro</t>
  </si>
  <si>
    <t>Otus sunia</t>
  </si>
  <si>
    <t>Oriental Scops Owl</t>
  </si>
  <si>
    <t>Ovis aries</t>
  </si>
  <si>
    <t>Sheep</t>
  </si>
  <si>
    <t>Oxyura australis</t>
  </si>
  <si>
    <t>Blue-billed Duck</t>
  </si>
  <si>
    <t>Oxyuranus scutellatus</t>
  </si>
  <si>
    <t>Coastal Taipan</t>
  </si>
  <si>
    <t>Oxyuranus temporalis</t>
  </si>
  <si>
    <t>Central Ranges Taipan</t>
  </si>
  <si>
    <t>Pachycephala inornata</t>
  </si>
  <si>
    <t>Gilbert's Whistler</t>
  </si>
  <si>
    <t>Pachycephala lanioides</t>
  </si>
  <si>
    <t>White-breasted Whistler</t>
  </si>
  <si>
    <t>Pachycephala melanura</t>
  </si>
  <si>
    <t>Mangrove Golden Whistler</t>
  </si>
  <si>
    <t>Pachycephala melanura melanura</t>
  </si>
  <si>
    <t>Pachycephala melanura spinicauda</t>
  </si>
  <si>
    <t>Pachycephala occidentalis</t>
  </si>
  <si>
    <t>Western Golden Whistler</t>
  </si>
  <si>
    <t>Pachycephala rufiventris</t>
  </si>
  <si>
    <t>Rufous Whistler</t>
  </si>
  <si>
    <t>Pachycephala rufiventris rufiventris</t>
  </si>
  <si>
    <t>Pachyptila belcheri</t>
  </si>
  <si>
    <t>Slender-billed Prion</t>
  </si>
  <si>
    <t>Pachyptila desolata</t>
  </si>
  <si>
    <t>Antarctic Prion</t>
  </si>
  <si>
    <t>Pachyptila salvini</t>
  </si>
  <si>
    <t>Salvin's Prion</t>
  </si>
  <si>
    <t>Pachyptila salvini macgillivrayi</t>
  </si>
  <si>
    <t>Pachyptila salvini salvini</t>
  </si>
  <si>
    <t>Pachyptila turtur</t>
  </si>
  <si>
    <t>Fairy Prion</t>
  </si>
  <si>
    <t>Pachyptila turtur turtur</t>
  </si>
  <si>
    <t>Pachyptila vittata</t>
  </si>
  <si>
    <t>Broad-billed Prion</t>
  </si>
  <si>
    <t>Pachysaga munggai</t>
  </si>
  <si>
    <t>cricket</t>
  </si>
  <si>
    <t>Pachysaga strobila</t>
  </si>
  <si>
    <t>Vasse Pachysaga (Busselton-Donnybrook)</t>
  </si>
  <si>
    <t>Pandion cristatus</t>
  </si>
  <si>
    <t>Osprey</t>
  </si>
  <si>
    <t>Papasula abbotti</t>
  </si>
  <si>
    <t>Abbott's Booby</t>
  </si>
  <si>
    <t>Paradraculoides anachoretus</t>
  </si>
  <si>
    <t>Mesa A Paradraculoides</t>
  </si>
  <si>
    <t>Paradraculoides bythius</t>
  </si>
  <si>
    <t>Mesa B/C Paradraculoides</t>
  </si>
  <si>
    <t>Paradraculoides gnophicola</t>
  </si>
  <si>
    <t>Mesa G Paradraculoides</t>
  </si>
  <si>
    <t>Paradraculoides kryptus</t>
  </si>
  <si>
    <t>Mesa K Paradraculoides</t>
  </si>
  <si>
    <t>Parantechinus apicalis</t>
  </si>
  <si>
    <t>Dibbler</t>
  </si>
  <si>
    <t>Paraplatyarthrus subterraneus</t>
  </si>
  <si>
    <t>Poseidon slater</t>
  </si>
  <si>
    <t>Parartemia contracta</t>
  </si>
  <si>
    <t>A brine shrimp (Wheatbelt)</t>
  </si>
  <si>
    <t>Parasuta gouldii</t>
  </si>
  <si>
    <t>Parasuta monachus</t>
  </si>
  <si>
    <t>Parasuta nigriceps</t>
  </si>
  <si>
    <t>Parasuta spectabilis</t>
  </si>
  <si>
    <t>Parasuta spectabilis bushi</t>
  </si>
  <si>
    <t>spectacled hooded snake (Esperance)</t>
  </si>
  <si>
    <t>Parasuta spectabilis nullarbor</t>
  </si>
  <si>
    <t>Pardalotus punctatus</t>
  </si>
  <si>
    <t>Spotted Pardalote</t>
  </si>
  <si>
    <t>Pardalotus punctatus punctatus</t>
  </si>
  <si>
    <t>Pardalotus punctatus xanthopyge</t>
  </si>
  <si>
    <t>Yellow-rumped Pardalote</t>
  </si>
  <si>
    <t>Pardalotus rubricatus</t>
  </si>
  <si>
    <t>Red-browed Pardalote</t>
  </si>
  <si>
    <t>Pardalotus rubricatus rubricatus</t>
  </si>
  <si>
    <t>Pardalotus striatus</t>
  </si>
  <si>
    <t>Striated Pardalote</t>
  </si>
  <si>
    <t>Pardalotus striatus murchisoni</t>
  </si>
  <si>
    <t>Pardalotus striatus uropygialis</t>
  </si>
  <si>
    <t>Pardalotus striatus westraliensis</t>
  </si>
  <si>
    <t>Paroplocephalus atriceps</t>
  </si>
  <si>
    <t>Lake Cronin Snake</t>
  </si>
  <si>
    <t>Parvipsitta porphyrocephala</t>
  </si>
  <si>
    <t>Purple-crowned Lorikeet</t>
  </si>
  <si>
    <t>Passer domesticus</t>
  </si>
  <si>
    <t>House Sparrow</t>
  </si>
  <si>
    <t>Passer domesticus domesticus</t>
  </si>
  <si>
    <t>Passer montanus</t>
  </si>
  <si>
    <t>Eurasian Tree Sparrow</t>
  </si>
  <si>
    <t>Pastor roseus</t>
  </si>
  <si>
    <t>Rosy Starling</t>
  </si>
  <si>
    <t>Pavo cristatus</t>
  </si>
  <si>
    <t>Common Peafowl</t>
  </si>
  <si>
    <t>Pelagodroma marina</t>
  </si>
  <si>
    <t>White-faced Storm Petrel</t>
  </si>
  <si>
    <t>Pelagodroma marina dulciae</t>
  </si>
  <si>
    <t>Pelecanoides urinatrix</t>
  </si>
  <si>
    <t>Common Diving Petrel</t>
  </si>
  <si>
    <t>Pelecanoides urinatrix exsul</t>
  </si>
  <si>
    <t>Pelecanus conspicillatus</t>
  </si>
  <si>
    <t>Australian Pelican</t>
  </si>
  <si>
    <t>Peltohyas australis</t>
  </si>
  <si>
    <t>Inland Dotterel</t>
  </si>
  <si>
    <t>Peponocephala electra</t>
  </si>
  <si>
    <t>Melon-headed Whale</t>
  </si>
  <si>
    <t>Perameles bougainville</t>
  </si>
  <si>
    <t>Shark Bay Bandicoot or little marl</t>
  </si>
  <si>
    <t>Perameles bougainville bougainville</t>
  </si>
  <si>
    <t>Perameles eremiana</t>
  </si>
  <si>
    <t>Desert Bandicoot</t>
  </si>
  <si>
    <t>Perameles myosuros</t>
  </si>
  <si>
    <t>Marl</t>
  </si>
  <si>
    <t>Perameles papillon</t>
  </si>
  <si>
    <t>Nullarbor Barred Bandicoot</t>
  </si>
  <si>
    <t>Pernis ptilorhyncus</t>
  </si>
  <si>
    <t>Oriental Honey Buzzard</t>
  </si>
  <si>
    <t>Pernis ptilorhyncus orientalis</t>
  </si>
  <si>
    <t>Petaurus breviceps</t>
  </si>
  <si>
    <t>Sugar Glider</t>
  </si>
  <si>
    <t>Petaurus breviceps ariel</t>
  </si>
  <si>
    <t>Petrochelidon ariel</t>
  </si>
  <si>
    <t>Fairy Martin</t>
  </si>
  <si>
    <t>Petrochelidon nigricans</t>
  </si>
  <si>
    <t>Tree Martin</t>
  </si>
  <si>
    <t>Petrochelidon nigricans nigricans</t>
  </si>
  <si>
    <t>Petrogale brachyotis</t>
  </si>
  <si>
    <t>Short-eared Rock-wallaby</t>
  </si>
  <si>
    <t>Petrogale brachyotis brachyotis</t>
  </si>
  <si>
    <t>Petrogale burbidgei</t>
  </si>
  <si>
    <t>Monjon</t>
  </si>
  <si>
    <t>Petrogale concinna</t>
  </si>
  <si>
    <t>Nabarlek</t>
  </si>
  <si>
    <t>Petrogale concinna monastria</t>
  </si>
  <si>
    <t>Nabarlek (Kimberley)</t>
  </si>
  <si>
    <t>Petrogale lateralis hacketti</t>
  </si>
  <si>
    <t>Recherche Black-footed Rock-wallaby</t>
  </si>
  <si>
    <t>Petrogale lateralis lateralis</t>
  </si>
  <si>
    <t>Black-flanked Rock-wallaby</t>
  </si>
  <si>
    <t>Petrogale lateralis subsp. (MacDonnell Ranges)</t>
  </si>
  <si>
    <t>MacDonnell Ranges Black-footed Rock-wallaby</t>
  </si>
  <si>
    <t>Petrogale lateralis subsp. (West Kimberley)</t>
  </si>
  <si>
    <t>West Kimberley Black-footed Rock-wallaby</t>
  </si>
  <si>
    <t>Petrogale rothschildi</t>
  </si>
  <si>
    <t>Rothschild's Rock-wallaby</t>
  </si>
  <si>
    <t>Petrogale sp.</t>
  </si>
  <si>
    <t>rock wallaby</t>
  </si>
  <si>
    <t>T</t>
  </si>
  <si>
    <t>Petroica boodang</t>
  </si>
  <si>
    <t>Scarlet Robin</t>
  </si>
  <si>
    <t>Petroica boodang campbelli</t>
  </si>
  <si>
    <t>Campbell's Scarlet Robin</t>
  </si>
  <si>
    <t>Petroica goodenovii</t>
  </si>
  <si>
    <t>Red-capped Robin</t>
  </si>
  <si>
    <t>Petrophassa albipennis</t>
  </si>
  <si>
    <t>White-quilled Rock Pigeon</t>
  </si>
  <si>
    <t>Petrophassa albipennis albipennis</t>
  </si>
  <si>
    <t>Petropseudes dahli</t>
  </si>
  <si>
    <t>Rock Ringtail Possum</t>
  </si>
  <si>
    <t>Pezoporus flaviventris</t>
  </si>
  <si>
    <t>Western Ground Parrot</t>
  </si>
  <si>
    <t>Pezoporus occidentalis</t>
  </si>
  <si>
    <t>Night Parrot</t>
  </si>
  <si>
    <t>Phaethon lepturus</t>
  </si>
  <si>
    <t>White-tailed Tropicbird</t>
  </si>
  <si>
    <t>Phaethon rubricauda</t>
  </si>
  <si>
    <t>Red-tailed Tropicbird</t>
  </si>
  <si>
    <t>Phalacrocorax carbo</t>
  </si>
  <si>
    <t>Great Cormorant</t>
  </si>
  <si>
    <t>Phalacrocorax carbo novaehollandiae</t>
  </si>
  <si>
    <t>Phalacrocorax fuscescens</t>
  </si>
  <si>
    <t>Black-faced Cormorant</t>
  </si>
  <si>
    <t>Phalacrocorax melanoleucos</t>
  </si>
  <si>
    <t>Little Pied Cormorant</t>
  </si>
  <si>
    <t>Phalacrocorax melanoleucos melanoleucos</t>
  </si>
  <si>
    <t>Phalacrocorax sulcirostris</t>
  </si>
  <si>
    <t>Little Black Cormorant</t>
  </si>
  <si>
    <t>Phalacrocorax varius</t>
  </si>
  <si>
    <t>Pied Cormorant</t>
  </si>
  <si>
    <t>Phalacrocorax varius hypoleucos</t>
  </si>
  <si>
    <t>Phalacrocorax verrucosus</t>
  </si>
  <si>
    <t>Kerguelen Cormorant</t>
  </si>
  <si>
    <t>Phalaropus fulicarius</t>
  </si>
  <si>
    <t>Red Phalarope</t>
  </si>
  <si>
    <t>Phalaropus lobatus</t>
  </si>
  <si>
    <t>Red-necked Phalarope</t>
  </si>
  <si>
    <t>Phaps chalcoptera</t>
  </si>
  <si>
    <t>Common Bronzewing</t>
  </si>
  <si>
    <t>Phaps elegans</t>
  </si>
  <si>
    <t>Brush Bronzewing</t>
  </si>
  <si>
    <t>Phaps elegans (Abrolhos subpop.)</t>
  </si>
  <si>
    <t>brush bronzewing (Abrolhos subpop.)</t>
  </si>
  <si>
    <t>Phaps histrionica</t>
  </si>
  <si>
    <t>Flock Bronzewing</t>
  </si>
  <si>
    <t>Phascogale calura</t>
  </si>
  <si>
    <t>Red-tailed Phascogale</t>
  </si>
  <si>
    <t>Phascogale tapoatafa</t>
  </si>
  <si>
    <t>Brush-tailed Phascogale</t>
  </si>
  <si>
    <t>Phascogale tapoatafa kimberleyensis</t>
  </si>
  <si>
    <t>Kimberley Brush-tailed Phascogale</t>
  </si>
  <si>
    <t>Phascogale tapoatafa wambenger</t>
  </si>
  <si>
    <t>South-western Brush-tailed Phascogale</t>
  </si>
  <si>
    <t>Phasianus colchicus</t>
  </si>
  <si>
    <t>Common Pheasant</t>
  </si>
  <si>
    <t>Phasmodes jeeba</t>
  </si>
  <si>
    <t>springtime corroboree stick katydid (Eneabba)</t>
  </si>
  <si>
    <t>Philemon argenticeps</t>
  </si>
  <si>
    <t>Silver-crowned Friarbird</t>
  </si>
  <si>
    <t>Philemon argenticeps argenticeps</t>
  </si>
  <si>
    <t>Philemon citreogularis</t>
  </si>
  <si>
    <t>Little Friarbird</t>
  </si>
  <si>
    <t>Philemon citreogularis citreogularis</t>
  </si>
  <si>
    <t>Philomachus pugnax</t>
  </si>
  <si>
    <t>Ruff</t>
  </si>
  <si>
    <t>Phoebetria fusca</t>
  </si>
  <si>
    <t>Sooty Albatross</t>
  </si>
  <si>
    <t>Phoebetria palpebrata</t>
  </si>
  <si>
    <t>Light-mantled Albatross</t>
  </si>
  <si>
    <t>Phycodurus eques</t>
  </si>
  <si>
    <t>Leafy Sea Dragon</t>
  </si>
  <si>
    <t>Phylidonyris niger</t>
  </si>
  <si>
    <t>White-cheeked Honeyeater</t>
  </si>
  <si>
    <t>Phylidonyris niger gouldii</t>
  </si>
  <si>
    <t>Phylidonyris novaehollandiae</t>
  </si>
  <si>
    <t>New Holland Honeyeater</t>
  </si>
  <si>
    <t>Phylidonyris novaehollandiae longirostris</t>
  </si>
  <si>
    <t>Phylloscopus borealis</t>
  </si>
  <si>
    <t>Arctic Warbler</t>
  </si>
  <si>
    <t>Phylloscopus borealis borealis</t>
  </si>
  <si>
    <t>Phylloscopus inornatus</t>
  </si>
  <si>
    <t>Yellow-browed Warbler</t>
  </si>
  <si>
    <t>Physeter macrocephalus</t>
  </si>
  <si>
    <t>Sperm Whale</t>
  </si>
  <si>
    <t>Pilsbrycharopa tumida</t>
  </si>
  <si>
    <t>a charopid land snail (Noonkanbah)</t>
  </si>
  <si>
    <t>Pipistrellus westralis</t>
  </si>
  <si>
    <t>Northern Pipistrelle</t>
  </si>
  <si>
    <t>Pitta iris</t>
  </si>
  <si>
    <t>Rainbow Pitta</t>
  </si>
  <si>
    <t>Pitta iris johnstoneiana</t>
  </si>
  <si>
    <t>Pitta moluccensis</t>
  </si>
  <si>
    <t>Blue-winged Pitta</t>
  </si>
  <si>
    <t>Pitta nympha</t>
  </si>
  <si>
    <t>Fairy Pitta</t>
  </si>
  <si>
    <t>Pitta sordida</t>
  </si>
  <si>
    <t>Hooded Pitta</t>
  </si>
  <si>
    <t>Pitta sordida cucullata</t>
  </si>
  <si>
    <t>Planigale ingrami</t>
  </si>
  <si>
    <t>Long-tailed Planigale</t>
  </si>
  <si>
    <t>Planigale maculata</t>
  </si>
  <si>
    <t>Common Planigale</t>
  </si>
  <si>
    <t>Platalea flavipes</t>
  </si>
  <si>
    <t>Yellow-billed Spoonbill</t>
  </si>
  <si>
    <t>Platalea regia</t>
  </si>
  <si>
    <t>Royal Spoonbill</t>
  </si>
  <si>
    <t>Platycercus icterotis</t>
  </si>
  <si>
    <t>Western Rosella</t>
  </si>
  <si>
    <t>Platycercus icterotis icterotis</t>
  </si>
  <si>
    <t>Platycercus icterotis xanthogenys</t>
  </si>
  <si>
    <t>Western Rosella (inland)</t>
  </si>
  <si>
    <t>Platycercus spurius</t>
  </si>
  <si>
    <t>Red-capped Parrot</t>
  </si>
  <si>
    <t>Platycercus varius</t>
  </si>
  <si>
    <t>Mulga Parrot</t>
  </si>
  <si>
    <t>Platycercus venustus</t>
  </si>
  <si>
    <t>Northern Rosella</t>
  </si>
  <si>
    <t>Platycercus zonarius</t>
  </si>
  <si>
    <t>Australian Ringneck</t>
  </si>
  <si>
    <t>Platycercus zonarius semitorquatus</t>
  </si>
  <si>
    <t>Twenty-eight Parrot</t>
  </si>
  <si>
    <t>Platycercus zonarius zonarius</t>
  </si>
  <si>
    <t>Port Lincoln Parrot</t>
  </si>
  <si>
    <t>Platyplectrum ornatum</t>
  </si>
  <si>
    <t>Ornate Burrowing Frog</t>
  </si>
  <si>
    <t>Platyplectrum spenceri</t>
  </si>
  <si>
    <t>Centralian Burrowing Frog</t>
  </si>
  <si>
    <t>Plegadis falcinellus</t>
  </si>
  <si>
    <t>Glossy Ibis</t>
  </si>
  <si>
    <t>Pletholax gracilis</t>
  </si>
  <si>
    <t>Keeled Legless Lizard</t>
  </si>
  <si>
    <t>Pletholax gracilis edelensis</t>
  </si>
  <si>
    <t>Keeled Legless Lizard (Shark Bay)</t>
  </si>
  <si>
    <t>Pletholax gracilis gracilis</t>
  </si>
  <si>
    <t>Pluvialis dominica</t>
  </si>
  <si>
    <t>American Golden Plover</t>
  </si>
  <si>
    <t>Pluvialis fulva</t>
  </si>
  <si>
    <t>Pacific Golden Plover</t>
  </si>
  <si>
    <t>Pluvialis squatarola</t>
  </si>
  <si>
    <t>Grey Plover</t>
  </si>
  <si>
    <t>Pluvialis squatarola squatarola</t>
  </si>
  <si>
    <t>Podargus strigoides</t>
  </si>
  <si>
    <t>Tawny Frogmouth</t>
  </si>
  <si>
    <t>Podargus strigoides brachypterus</t>
  </si>
  <si>
    <t>Podargus strigoides phalaenoides</t>
  </si>
  <si>
    <t>Podiceps cristatus</t>
  </si>
  <si>
    <t>Great Crested Grebe</t>
  </si>
  <si>
    <t>Podiceps cristatus australis</t>
  </si>
  <si>
    <t>Poecilodryas cerviniventris</t>
  </si>
  <si>
    <t>Buff-sided Robin</t>
  </si>
  <si>
    <t>Poecilodryas superciliosa</t>
  </si>
  <si>
    <t>White-browed Robin</t>
  </si>
  <si>
    <t>Poephila acuticauda</t>
  </si>
  <si>
    <t>Long-tailed Finch</t>
  </si>
  <si>
    <t>Poephila personata</t>
  </si>
  <si>
    <t>Masked Finch</t>
  </si>
  <si>
    <t>Poephila personata personata</t>
  </si>
  <si>
    <t>Pogona microlepidota</t>
  </si>
  <si>
    <t>Kimberley Bearded Dragon</t>
  </si>
  <si>
    <t>Pogona minor</t>
  </si>
  <si>
    <t>Dwarf Bearded Dragon</t>
  </si>
  <si>
    <t>Pogona minor minima</t>
  </si>
  <si>
    <t>Abrolhos Dwarf Bearded Dragon</t>
  </si>
  <si>
    <t>Pogona minor minor</t>
  </si>
  <si>
    <t>Pogona minor mitchelli</t>
  </si>
  <si>
    <t>Pogona nullarbor</t>
  </si>
  <si>
    <t>Nullabor Bearded Dragon</t>
  </si>
  <si>
    <t>Poliocephalus poliocephalus</t>
  </si>
  <si>
    <t>Hoary-headed Grebe</t>
  </si>
  <si>
    <t>Polytelis alexandrae</t>
  </si>
  <si>
    <t>Princess Parrot</t>
  </si>
  <si>
    <t>Polytelis anthopeplus</t>
  </si>
  <si>
    <t>Regent Parrot</t>
  </si>
  <si>
    <t>Polytelis anthopeplus westralis</t>
  </si>
  <si>
    <t>Pomatostomus superciliosus</t>
  </si>
  <si>
    <t>White-browed Babbler</t>
  </si>
  <si>
    <t>Pomatostomus superciliosus ashbyi</t>
  </si>
  <si>
    <t>White-browed Babbler (western wheatbelt)</t>
  </si>
  <si>
    <t>Pomatostomus temporalis</t>
  </si>
  <si>
    <t>Grey-crowned Babbler</t>
  </si>
  <si>
    <t>Pomatostomus temporalis rubeculus</t>
  </si>
  <si>
    <t>Porphyrio porphyrio</t>
  </si>
  <si>
    <t>Purple Swamphen</t>
  </si>
  <si>
    <t>Porphyrio porphyrio bellus</t>
  </si>
  <si>
    <t>Porphyrio porphyrio melanotus</t>
  </si>
  <si>
    <t>Porzana cinerea</t>
  </si>
  <si>
    <t>White-browed Crake</t>
  </si>
  <si>
    <t>Porzana fluminea</t>
  </si>
  <si>
    <t>Australian Spotted Crake</t>
  </si>
  <si>
    <t>Porzana pusilla</t>
  </si>
  <si>
    <t>Baillon's Crake</t>
  </si>
  <si>
    <t>Porzana pusilla palustris</t>
  </si>
  <si>
    <t>Porzana tabuensis</t>
  </si>
  <si>
    <t>Spotless Crake</t>
  </si>
  <si>
    <t>Potorous gilbertii</t>
  </si>
  <si>
    <t>Gilbert's Potoroo</t>
  </si>
  <si>
    <t>Potorous platyops</t>
  </si>
  <si>
    <t>Broad-faced Potoroo</t>
  </si>
  <si>
    <t>Potorous tridactylus</t>
  </si>
  <si>
    <t>Long-nosed Potoroo</t>
  </si>
  <si>
    <t>Prionospio thalanji</t>
  </si>
  <si>
    <t>Bundera Skinhole worm</t>
  </si>
  <si>
    <t>Pristis clavata</t>
  </si>
  <si>
    <t>Dwarf Sawfish</t>
  </si>
  <si>
    <t>Pristis pristis</t>
  </si>
  <si>
    <t>Freshwater Sawfish</t>
  </si>
  <si>
    <t>Pristis zijsron</t>
  </si>
  <si>
    <t>Green Sawfish</t>
  </si>
  <si>
    <t>Proablepharus reginae</t>
  </si>
  <si>
    <t>Proablepharus tenuis</t>
  </si>
  <si>
    <t>Procellaria aequinoctialis</t>
  </si>
  <si>
    <t>White-chinned Petrel</t>
  </si>
  <si>
    <t>Procellaria aequinoctialis aequinoctialis</t>
  </si>
  <si>
    <t>Procellaria cinerea</t>
  </si>
  <si>
    <t>Grey Petrel</t>
  </si>
  <si>
    <t>Prymnbriareus nimberlinus</t>
  </si>
  <si>
    <t>Nimberline camaenid land snail (El Questro Station)</t>
  </si>
  <si>
    <t>Psacadonotus seriatus</t>
  </si>
  <si>
    <t>a fan-winged katydid (Champion Bay)</t>
  </si>
  <si>
    <t>Pseudantechinus macdonnellensis</t>
  </si>
  <si>
    <t>Fat-tailed Pseudantechinus</t>
  </si>
  <si>
    <t>Pseudantechinus ningbing</t>
  </si>
  <si>
    <t>Ningbing Pseudantechinus</t>
  </si>
  <si>
    <t>Pseudantechinus roryi</t>
  </si>
  <si>
    <t>Rory's Pseudantechinus</t>
  </si>
  <si>
    <t>Pseudantechinus woolleyae</t>
  </si>
  <si>
    <t>Woolley's Pseudantechinus</t>
  </si>
  <si>
    <t>Pseudechis australis</t>
  </si>
  <si>
    <t>Mulga Snake</t>
  </si>
  <si>
    <t>Pseudechis butleri</t>
  </si>
  <si>
    <t>Spotted Mulga Snake</t>
  </si>
  <si>
    <t>Pseudemoia baudini</t>
  </si>
  <si>
    <t>Pseudemydura umbrina</t>
  </si>
  <si>
    <t>Western Swamp Tortoise</t>
  </si>
  <si>
    <t>Pseudocheirus occidentalis</t>
  </si>
  <si>
    <t>Western Ringtail Possum</t>
  </si>
  <si>
    <t>Pseudococcus markharveyi</t>
  </si>
  <si>
    <t>Banksia montana mealybug</t>
  </si>
  <si>
    <t>Pseudohydryphantes doegi</t>
  </si>
  <si>
    <t>Doeg's Watermite</t>
  </si>
  <si>
    <t>Pseudomys albocinereus</t>
  </si>
  <si>
    <t>Ash-grey Mouse</t>
  </si>
  <si>
    <t>Pseudomys albocinereus albocinereus</t>
  </si>
  <si>
    <t>Pseudomys albocinereus squalorum</t>
  </si>
  <si>
    <t>Bernier Island ash-grey mouse</t>
  </si>
  <si>
    <t>Pseudomys australis</t>
  </si>
  <si>
    <t>Plains Rat</t>
  </si>
  <si>
    <t>Pseudomys bolami</t>
  </si>
  <si>
    <t>Bolam's Mouse</t>
  </si>
  <si>
    <t>Pseudomys chapmani</t>
  </si>
  <si>
    <t>Western Pebble-mound Mouse</t>
  </si>
  <si>
    <t>Pseudomys delicatulus</t>
  </si>
  <si>
    <t>Delicate Mouse</t>
  </si>
  <si>
    <t>Pseudomys desertor</t>
  </si>
  <si>
    <t>Desert Mouse</t>
  </si>
  <si>
    <t>Pseudomys fieldi</t>
  </si>
  <si>
    <t>Shark Bay Mouse</t>
  </si>
  <si>
    <t>Pseudomys hermannsburgensis</t>
  </si>
  <si>
    <t>Sandy Inland Mouse</t>
  </si>
  <si>
    <t>Pseudomys johnsoni</t>
  </si>
  <si>
    <t>Kimberley Mouse</t>
  </si>
  <si>
    <t>Pseudomys nanus</t>
  </si>
  <si>
    <t>Western Chestnut Mouse</t>
  </si>
  <si>
    <t>Pseudomys nanus ferculinus</t>
  </si>
  <si>
    <t>Barrow Island Mouse</t>
  </si>
  <si>
    <t>Pseudomys nanus nanus</t>
  </si>
  <si>
    <t>Pseudomys occidentalis</t>
  </si>
  <si>
    <t>Western Mouse</t>
  </si>
  <si>
    <t>Pseudomys shortridgei</t>
  </si>
  <si>
    <t>Heath Mouse</t>
  </si>
  <si>
    <t>Pseudonaja affinis</t>
  </si>
  <si>
    <t>Dugite</t>
  </si>
  <si>
    <t>Pseudonaja affinis affinis</t>
  </si>
  <si>
    <t>Pseudonaja affinis exilis</t>
  </si>
  <si>
    <t>Rottnest Island Dugite</t>
  </si>
  <si>
    <t>Pseudonaja affinis tanneri</t>
  </si>
  <si>
    <t>Pygmy Dugite</t>
  </si>
  <si>
    <t>Pseudonaja ingrami</t>
  </si>
  <si>
    <t>Ingram's Brown Snake</t>
  </si>
  <si>
    <t>Pseudonaja mengdeni</t>
  </si>
  <si>
    <t>Western Brown Snake</t>
  </si>
  <si>
    <t>Pseudonaja modesta</t>
  </si>
  <si>
    <t>Ringed Brown Snake</t>
  </si>
  <si>
    <t>Pseudonaja nuchalis</t>
  </si>
  <si>
    <t>Gwardar</t>
  </si>
  <si>
    <t>Pseudonaja textilis</t>
  </si>
  <si>
    <t>Eastern Brown Snake</t>
  </si>
  <si>
    <t>Pseudophryne douglasi</t>
  </si>
  <si>
    <t>Gorge Toadlet</t>
  </si>
  <si>
    <t>Pseudophryne guentheri</t>
  </si>
  <si>
    <t>Crawling Toadlet</t>
  </si>
  <si>
    <t>Pseudophryne occidentalis</t>
  </si>
  <si>
    <t>Western Toadlet</t>
  </si>
  <si>
    <t>Pseudorca crassidens</t>
  </si>
  <si>
    <t>False Killer Whale</t>
  </si>
  <si>
    <t>Pseudothecadactylus cavaticus</t>
  </si>
  <si>
    <t>Kimberley Giant Cave Gecko</t>
  </si>
  <si>
    <t>Psittacula krameri</t>
  </si>
  <si>
    <t>Indian Ringnecked Parrot</t>
  </si>
  <si>
    <t>Psophodes nigrogularis</t>
  </si>
  <si>
    <t>Western Whipbird</t>
  </si>
  <si>
    <t>Psophodes nigrogularis nigrogularis</t>
  </si>
  <si>
    <t>Western Whipbird (western heath)</t>
  </si>
  <si>
    <t>Psophodes nigrogularis oberon</t>
  </si>
  <si>
    <t>Western Whipbird (western mallee)</t>
  </si>
  <si>
    <t>Psophodes occidentalis</t>
  </si>
  <si>
    <t>Western Wedgebill</t>
  </si>
  <si>
    <t>Pterodroma baraui</t>
  </si>
  <si>
    <t>Barau's Petrel</t>
  </si>
  <si>
    <t>Pterodroma brevirostris</t>
  </si>
  <si>
    <t>Kerguelen Petrel</t>
  </si>
  <si>
    <t>Pterodroma heraldica</t>
  </si>
  <si>
    <t>Herald Petrel</t>
  </si>
  <si>
    <t>Pterodroma lessonii</t>
  </si>
  <si>
    <t>White-headed Petrel</t>
  </si>
  <si>
    <t>Pterodroma leucoptera</t>
  </si>
  <si>
    <t>Gould's Petrel</t>
  </si>
  <si>
    <t>Pterodroma leucoptera leucoptera</t>
  </si>
  <si>
    <t>Pterodroma macroptera</t>
  </si>
  <si>
    <t>Great-winged Petrel</t>
  </si>
  <si>
    <t>Pterodroma macroptera gouldi</t>
  </si>
  <si>
    <t>Pterodroma macroptera macroptera</t>
  </si>
  <si>
    <t>Pterodroma mollis</t>
  </si>
  <si>
    <t>Soft-plumaged Petrel</t>
  </si>
  <si>
    <t>Pterodroma mollis dubius</t>
  </si>
  <si>
    <t>Pterodroma mollis mollis</t>
  </si>
  <si>
    <t>Pterodroma rostrata</t>
  </si>
  <si>
    <t>Tahiti Petrel</t>
  </si>
  <si>
    <t>Pterodroma solandri</t>
  </si>
  <si>
    <t>Providence Petrel</t>
  </si>
  <si>
    <t>Pteropus alecto</t>
  </si>
  <si>
    <t>Black Flying-fox</t>
  </si>
  <si>
    <t>Pteropus alecto gouldii</t>
  </si>
  <si>
    <t>Pteropus scapulatus</t>
  </si>
  <si>
    <t>Little Red Flying-fox</t>
  </si>
  <si>
    <t>Ptilinopus regina</t>
  </si>
  <si>
    <t>Rose-crowned Fruit-dove</t>
  </si>
  <si>
    <t>Ptilinopus regina ewingii</t>
  </si>
  <si>
    <t>Ptilonorhynchus maculatus</t>
  </si>
  <si>
    <t>Spotted Bowerbird</t>
  </si>
  <si>
    <t>Ptilonorhynchus maculatus guttatus</t>
  </si>
  <si>
    <t>Western Bowerbird</t>
  </si>
  <si>
    <t>Ptilonorhynchus nuchalis</t>
  </si>
  <si>
    <t>Great Bowerbird</t>
  </si>
  <si>
    <t>Ptilonorhynchus nuchalis nuchalis</t>
  </si>
  <si>
    <t>Ptilotula flavescens</t>
  </si>
  <si>
    <t>Yellow-tinted Honeyeater</t>
  </si>
  <si>
    <t>Ptilotula flavescens flavescens</t>
  </si>
  <si>
    <t>Ptilotula keartlandi</t>
  </si>
  <si>
    <t>Grey-headed Honeyeater</t>
  </si>
  <si>
    <t>Ptilotula ornata</t>
  </si>
  <si>
    <t>Yellow-plumed Honeyeater</t>
  </si>
  <si>
    <t>Ptilotula penicillata</t>
  </si>
  <si>
    <t>White-plumed Honeyeater</t>
  </si>
  <si>
    <t>Ptilotula penicillata carteri</t>
  </si>
  <si>
    <t>Carter's White-plumed Honeyeater</t>
  </si>
  <si>
    <t>Ptilotula plumula</t>
  </si>
  <si>
    <t>Grey-fronted Honeyeater</t>
  </si>
  <si>
    <t>Puffinus assimilis</t>
  </si>
  <si>
    <t>Little Shearwater</t>
  </si>
  <si>
    <t>Puffinus assimilis assimilis</t>
  </si>
  <si>
    <t>Puffinus assimilis tunneyi</t>
  </si>
  <si>
    <t>Puffinus gavia</t>
  </si>
  <si>
    <t>Fluttering Shearwater</t>
  </si>
  <si>
    <t>Puffinus griseus</t>
  </si>
  <si>
    <t>Puffinus huttoni</t>
  </si>
  <si>
    <t>Hutton's Shearwater</t>
  </si>
  <si>
    <t>Puffinus pacificus</t>
  </si>
  <si>
    <t>Puffinus persicus</t>
  </si>
  <si>
    <t>Persian Shearwater</t>
  </si>
  <si>
    <t>Puffinus tenuirostris</t>
  </si>
  <si>
    <t>Purnella albifrons</t>
  </si>
  <si>
    <t>White-fronted Honeyeater</t>
  </si>
  <si>
    <t>Pycnonotus jocosus</t>
  </si>
  <si>
    <t>Red-whiskered Bulbul</t>
  </si>
  <si>
    <t>Pycnonotus jocosus jocosus</t>
  </si>
  <si>
    <t>Pygopus lepidopodus</t>
  </si>
  <si>
    <t>Common Scaly Foot</t>
  </si>
  <si>
    <t>Pygopus nigriceps</t>
  </si>
  <si>
    <t>Pygopus steelescotti</t>
  </si>
  <si>
    <t>Pyrrholaemus brunneus</t>
  </si>
  <si>
    <t>Redthroat</t>
  </si>
  <si>
    <t>Rallina fasciata</t>
  </si>
  <si>
    <t>Red-legged Crake</t>
  </si>
  <si>
    <t>Ramsayornis fasciatus</t>
  </si>
  <si>
    <t>Bar-breasted Honeyeater</t>
  </si>
  <si>
    <t>Rattus exulans</t>
  </si>
  <si>
    <t>Pacific Rat</t>
  </si>
  <si>
    <t>Rattus fuscipes</t>
  </si>
  <si>
    <t>Western Bush Rat</t>
  </si>
  <si>
    <t>Rattus fuscipes fuscipes</t>
  </si>
  <si>
    <t>Rattus norvegicus</t>
  </si>
  <si>
    <t>Brown Rat</t>
  </si>
  <si>
    <t>Rattus rattus</t>
  </si>
  <si>
    <t>Black Rat</t>
  </si>
  <si>
    <t>Rattus tunneyi</t>
  </si>
  <si>
    <t>Pale Field-rat</t>
  </si>
  <si>
    <t>Rattus tunneyi tunneyi</t>
  </si>
  <si>
    <t>Rattus villosissimus</t>
  </si>
  <si>
    <t>Long-haired Rat</t>
  </si>
  <si>
    <t>Recurvirostra novaehollandiae</t>
  </si>
  <si>
    <t>Red-necked Avocet</t>
  </si>
  <si>
    <t>Rhagada gibbensis</t>
  </si>
  <si>
    <t>Gibb River camaenid land snail</t>
  </si>
  <si>
    <t>Rhagada harti</t>
  </si>
  <si>
    <t>Mt Hart Station camaenid land snail</t>
  </si>
  <si>
    <t>Rhincodon typus</t>
  </si>
  <si>
    <t>Whale Shark</t>
  </si>
  <si>
    <t>Rhinella marina</t>
  </si>
  <si>
    <t>Cane Toad</t>
  </si>
  <si>
    <t>Rhinonicteris aurantia</t>
  </si>
  <si>
    <t>Orange Leaf-nosed bat</t>
  </si>
  <si>
    <t>Rhinonicteris aurantia (Pilbara)</t>
  </si>
  <si>
    <t>Pilbara leaf-nosed bat</t>
  </si>
  <si>
    <t>Rhinoplocephalus bicolor</t>
  </si>
  <si>
    <t>Square-nosed Snake</t>
  </si>
  <si>
    <t>Rhipidura albiscapa</t>
  </si>
  <si>
    <t>Grey Fantail</t>
  </si>
  <si>
    <t>Rhipidura albiscapa albicauda</t>
  </si>
  <si>
    <t>White-tailed Fantail</t>
  </si>
  <si>
    <t>Rhipidura albiscapa alisteri</t>
  </si>
  <si>
    <t>Rhipidura albiscapa preissi</t>
  </si>
  <si>
    <t>Rhipidura dryas</t>
  </si>
  <si>
    <t>Wood Fantail</t>
  </si>
  <si>
    <t>Rhipidura dryas dryas</t>
  </si>
  <si>
    <t>Rhipidura dryas semicollaris</t>
  </si>
  <si>
    <t>Rhipidura leucophrys</t>
  </si>
  <si>
    <t>Willie Wagtail</t>
  </si>
  <si>
    <t>Rhipidura leucophrys leucophrys</t>
  </si>
  <si>
    <t>Rhipidura phasiana</t>
  </si>
  <si>
    <t>Mangrove Grey Fantail</t>
  </si>
  <si>
    <t>Rhipidura rufiventris</t>
  </si>
  <si>
    <t>Northern Fantail</t>
  </si>
  <si>
    <t>Rhipidura rufiventris isura</t>
  </si>
  <si>
    <t>Rhynchoedura ornata</t>
  </si>
  <si>
    <t>Western Beaked Gecko</t>
  </si>
  <si>
    <t>Rhynchoedura sexapora</t>
  </si>
  <si>
    <t>Northern Beaked Gecko</t>
  </si>
  <si>
    <t>Rhytidid sp. (WAM 2295-69)</t>
  </si>
  <si>
    <t>Stirling Range Rhytidid snail</t>
  </si>
  <si>
    <t>Rostratula australis</t>
  </si>
  <si>
    <t>Australian Painted Snipe</t>
  </si>
  <si>
    <t>Rostratula benghalensis</t>
  </si>
  <si>
    <t>Painted Snipe</t>
  </si>
  <si>
    <t>Saccolaimus flaviventris</t>
  </si>
  <si>
    <t>Yellow-bellied Sheath-tailed Bat</t>
  </si>
  <si>
    <t>Saccolaimus saccolaimus</t>
  </si>
  <si>
    <t>Bare-rumped Sheathtail-bat</t>
  </si>
  <si>
    <t>Saccolaimus saccolaimus nudicluniatus</t>
  </si>
  <si>
    <t>Bare-rumped Sheath-tailed Bat</t>
  </si>
  <si>
    <t>Scotorepens balstoni</t>
  </si>
  <si>
    <t>Inland Broad-nosed Bat</t>
  </si>
  <si>
    <t>Scotorepens greyii</t>
  </si>
  <si>
    <t>Little Broad-nosed Bat</t>
  </si>
  <si>
    <t>Scotorepens sanborni</t>
  </si>
  <si>
    <t>Northern Broad-nosed Bat</t>
  </si>
  <si>
    <t>Scythrops novaehollandiae</t>
  </si>
  <si>
    <t>Channel-billed Cuckoo</t>
  </si>
  <si>
    <t>Scythrops novaehollandiae novaehollandiae</t>
  </si>
  <si>
    <t>Sericornis frontalis</t>
  </si>
  <si>
    <t>White-browed Scrubwren</t>
  </si>
  <si>
    <t>Sericornis frontalis balstoni</t>
  </si>
  <si>
    <t>Sericornis frontalis maculatus</t>
  </si>
  <si>
    <t>Setonix brachyurus</t>
  </si>
  <si>
    <t>Quokka</t>
  </si>
  <si>
    <t>Simoselaps anomalus</t>
  </si>
  <si>
    <t>Desert Banded Snake</t>
  </si>
  <si>
    <t>Simoselaps bertholdi</t>
  </si>
  <si>
    <t>Jan's Banded Snake</t>
  </si>
  <si>
    <t>Simoselaps littoralis</t>
  </si>
  <si>
    <t>West Coast Banded Snake</t>
  </si>
  <si>
    <t>Simoselaps minimus</t>
  </si>
  <si>
    <t>Dampierland Burrowing Snake</t>
  </si>
  <si>
    <t>Smicrornis brevirostris</t>
  </si>
  <si>
    <t>Weebill</t>
  </si>
  <si>
    <t>Sminthopsis butleri</t>
  </si>
  <si>
    <t>Butler's Dunnart</t>
  </si>
  <si>
    <t>Sminthopsis crassicaudata</t>
  </si>
  <si>
    <t>Fat-tailed Dunnart</t>
  </si>
  <si>
    <t>Sminthopsis dolichura</t>
  </si>
  <si>
    <t>Little long-tailed Dunnart</t>
  </si>
  <si>
    <t>Sminthopsis fuliginosus</t>
  </si>
  <si>
    <t>Dusky Dunnart</t>
  </si>
  <si>
    <t>Sminthopsis gilberti</t>
  </si>
  <si>
    <t>Gilbert's Dunnart</t>
  </si>
  <si>
    <t>Sminthopsis granulipes</t>
  </si>
  <si>
    <t>White-tailed Dunnart</t>
  </si>
  <si>
    <t>Sminthopsis griseoventer</t>
  </si>
  <si>
    <t>Grey-bellied Dunnart</t>
  </si>
  <si>
    <t>Sminthopsis hirtipes</t>
  </si>
  <si>
    <t>Hairy-footed Dunnart</t>
  </si>
  <si>
    <t>Sminthopsis longicaudata</t>
  </si>
  <si>
    <t>Long-tailed Dunnart</t>
  </si>
  <si>
    <t>Sminthopsis macroura</t>
  </si>
  <si>
    <t>Stripe-faced Dunnart</t>
  </si>
  <si>
    <t>Sminthopsis macroura froggatti</t>
  </si>
  <si>
    <t>Froggatt's Stripe-faced Dunnart</t>
  </si>
  <si>
    <t>Sminthopsis macroura stalkeri</t>
  </si>
  <si>
    <t>Stalker's Stripe-faced Dunnart</t>
  </si>
  <si>
    <t>Sminthopsis ooldea</t>
  </si>
  <si>
    <t>Ooldea Dunnart</t>
  </si>
  <si>
    <t>Sminthopsis psammophila</t>
  </si>
  <si>
    <t>Sandhill Dunnart</t>
  </si>
  <si>
    <t>Sminthopsis virginiae</t>
  </si>
  <si>
    <t>Red-cheeked Dunnart</t>
  </si>
  <si>
    <t>Sminthopsis youngsoni</t>
  </si>
  <si>
    <t>Lesser Hairy-footed Dunnart</t>
  </si>
  <si>
    <t>Sousa sahulensis</t>
  </si>
  <si>
    <t>Australian humpback dolphin</t>
  </si>
  <si>
    <t>Speleophria bunderae</t>
  </si>
  <si>
    <t>Speleostrophus nesiotes</t>
  </si>
  <si>
    <t>Barrow Island Millipede</t>
  </si>
  <si>
    <t>Sphecotheres vieilloti</t>
  </si>
  <si>
    <t>Australasian Figbird</t>
  </si>
  <si>
    <t>Sphecotheres vieilloti ashbyi</t>
  </si>
  <si>
    <t>Yellow Figbird</t>
  </si>
  <si>
    <t>Spicospina flammocaerulea</t>
  </si>
  <si>
    <t>Sunset Frog</t>
  </si>
  <si>
    <t>Stagonopleura oculata</t>
  </si>
  <si>
    <t>Red-eared Firetail</t>
  </si>
  <si>
    <t>Stenella attenuata</t>
  </si>
  <si>
    <t>Spotted Dolphin</t>
  </si>
  <si>
    <t>Stenella attenuata attenuata</t>
  </si>
  <si>
    <t>Stenella coeruleoalba</t>
  </si>
  <si>
    <t>Striped Dophin</t>
  </si>
  <si>
    <t>Stenella longirostris</t>
  </si>
  <si>
    <t>Spinner Dolphin</t>
  </si>
  <si>
    <t>Stenella longirostris roseiventris</t>
  </si>
  <si>
    <t>Dwarf Spinner Dolphin</t>
  </si>
  <si>
    <t>Steno bredanensis</t>
  </si>
  <si>
    <t>Rough-toothed Dolphin</t>
  </si>
  <si>
    <t>Stercorarius antarcticus</t>
  </si>
  <si>
    <t>Brown Skua</t>
  </si>
  <si>
    <t>Stercorarius antarcticus lonnbergi</t>
  </si>
  <si>
    <t>Stercorarius longicaudus</t>
  </si>
  <si>
    <t>long-tailed jaeger</t>
  </si>
  <si>
    <t>Stercorarius maccormicki</t>
  </si>
  <si>
    <t>South Polar Skua</t>
  </si>
  <si>
    <t>Stercorarius parasiticus</t>
  </si>
  <si>
    <t>Arctic jaeger</t>
  </si>
  <si>
    <t>Stercorarius pomarinus</t>
  </si>
  <si>
    <t>Pomarine Jaeger</t>
  </si>
  <si>
    <t>Sterna bengalensis</t>
  </si>
  <si>
    <t>Lesser Crested Tern</t>
  </si>
  <si>
    <t>Sterna bergii</t>
  </si>
  <si>
    <t>Crested Tern</t>
  </si>
  <si>
    <t>Sterna bergii cristata</t>
  </si>
  <si>
    <t>Greater Crested Tern</t>
  </si>
  <si>
    <t>Sterna dougallii</t>
  </si>
  <si>
    <t>Roseate Tern</t>
  </si>
  <si>
    <t>Sterna dougallii bangsi</t>
  </si>
  <si>
    <t>Sterna dougallii gracilis</t>
  </si>
  <si>
    <t>Sterna fuscata</t>
  </si>
  <si>
    <t>Sooty Tern</t>
  </si>
  <si>
    <t>Sterna fuscata nubilosa</t>
  </si>
  <si>
    <t>Sterna hirundo</t>
  </si>
  <si>
    <t>Common Tern</t>
  </si>
  <si>
    <t>Sterna hirundo hirundo</t>
  </si>
  <si>
    <t>Sterna hirundo longipennis</t>
  </si>
  <si>
    <t>Sterna hybrida</t>
  </si>
  <si>
    <t>Whiskered Tern</t>
  </si>
  <si>
    <t>Sterna hybrida javanica</t>
  </si>
  <si>
    <t>Sterna paradisaea</t>
  </si>
  <si>
    <t>Arctic Tern</t>
  </si>
  <si>
    <t>Sterna striata</t>
  </si>
  <si>
    <t>White-fronted Tern</t>
  </si>
  <si>
    <t>Sterna sumatrana</t>
  </si>
  <si>
    <t>Black-naped Tern</t>
  </si>
  <si>
    <t>Sterna vittata</t>
  </si>
  <si>
    <t>Antarctic Tern</t>
  </si>
  <si>
    <t>Sternula albifrons</t>
  </si>
  <si>
    <t>Little Tern</t>
  </si>
  <si>
    <t>Sternula nereis</t>
  </si>
  <si>
    <t>Fairy Tern</t>
  </si>
  <si>
    <t>Sternula nereis nereis</t>
  </si>
  <si>
    <t>Stictonetta naevosa</t>
  </si>
  <si>
    <t>Freckled Duck</t>
  </si>
  <si>
    <t>Stiltia isabella</t>
  </si>
  <si>
    <t>Australian Pratincole</t>
  </si>
  <si>
    <t>Stipiturus malachurus</t>
  </si>
  <si>
    <t>Southern Emu-wren</t>
  </si>
  <si>
    <t>Stipiturus malachurus hartogi</t>
  </si>
  <si>
    <t>Dirk Hartog Island Emu-wren</t>
  </si>
  <si>
    <t>Stipiturus malachurus westernensis</t>
  </si>
  <si>
    <t>Stipiturus ruficeps</t>
  </si>
  <si>
    <t>Rufous-crowned Emu-wren</t>
  </si>
  <si>
    <t>Stipiturus ruficeps ruficeps</t>
  </si>
  <si>
    <t>Stomiopera unicolor</t>
  </si>
  <si>
    <t>White-gaped Honeyeater</t>
  </si>
  <si>
    <t>Stomiopera unicolor unicolor</t>
  </si>
  <si>
    <t>Strepera versicolor</t>
  </si>
  <si>
    <t>Grey Currawong</t>
  </si>
  <si>
    <t>Strepera versicolor plumbea</t>
  </si>
  <si>
    <t>Streptopelia chinensis</t>
  </si>
  <si>
    <t>Spotted Turtle-Dove</t>
  </si>
  <si>
    <t>Streptopelia chinensis tigrina</t>
  </si>
  <si>
    <t>Streptopelia senegalensis</t>
  </si>
  <si>
    <t>Laughing Turtle-Dove</t>
  </si>
  <si>
    <t>Streptopelia senegalensis senegalensis</t>
  </si>
  <si>
    <t>Strophurus assimilis</t>
  </si>
  <si>
    <t>Goldfields Spiny-tailed Gecko</t>
  </si>
  <si>
    <t>Strophurus ciliaris</t>
  </si>
  <si>
    <t>Strophurus ciliaris aberrans</t>
  </si>
  <si>
    <t>Strophurus ciliaris ciliaris</t>
  </si>
  <si>
    <t>Strophurus elderi</t>
  </si>
  <si>
    <t>Strophurus intermedius</t>
  </si>
  <si>
    <t>Strophurus jeanae</t>
  </si>
  <si>
    <t>Strophurus mcmillani</t>
  </si>
  <si>
    <t>Strophurus michaelseni</t>
  </si>
  <si>
    <t>Strophurus rankini</t>
  </si>
  <si>
    <t>Strophurus robinsoni</t>
  </si>
  <si>
    <t>Strophurus spinigerus</t>
  </si>
  <si>
    <t>Strophurus spinigerus inornatus</t>
  </si>
  <si>
    <t>Strophurus spinigerus spinigerus</t>
  </si>
  <si>
    <t>Strophurus strophurus</t>
  </si>
  <si>
    <t>Strophurus taeniatus</t>
  </si>
  <si>
    <t>Strophurus wellingtonae</t>
  </si>
  <si>
    <t>Strophurus wilsoni</t>
  </si>
  <si>
    <t>Sturnus vulgaris</t>
  </si>
  <si>
    <t>Common Starling</t>
  </si>
  <si>
    <t>Sturnus vulgaris vulgaris</t>
  </si>
  <si>
    <t>Stygiocaris lancifera</t>
  </si>
  <si>
    <t>Lance-beaked Cave Shrimp</t>
  </si>
  <si>
    <t>Stygiocaris stylifera</t>
  </si>
  <si>
    <t>Spear-beaked Cave Shrimp</t>
  </si>
  <si>
    <t>Stygiochiropus isolatus</t>
  </si>
  <si>
    <t>a stygiochiropus millipede (Cape Range)</t>
  </si>
  <si>
    <t>Stygiochiropus peculiaris</t>
  </si>
  <si>
    <t>Cameron's Cave Millipede</t>
  </si>
  <si>
    <t>Stygiochiropus sympatricus</t>
  </si>
  <si>
    <t>Stygocyclopia australis</t>
  </si>
  <si>
    <t>Sugomel nigrum</t>
  </si>
  <si>
    <t>Black Honeyeater</t>
  </si>
  <si>
    <t>Sula dactylatra</t>
  </si>
  <si>
    <t>Masked Booby</t>
  </si>
  <si>
    <t>Sula dactylatra personata</t>
  </si>
  <si>
    <t>Sula leucogaster</t>
  </si>
  <si>
    <t>Brown Booby</t>
  </si>
  <si>
    <t>Sula leucogaster plotus</t>
  </si>
  <si>
    <t>Sula sula</t>
  </si>
  <si>
    <t>Red-footed Booby</t>
  </si>
  <si>
    <t>Sus scrofa</t>
  </si>
  <si>
    <t>Pig</t>
  </si>
  <si>
    <t>Suta fasciata</t>
  </si>
  <si>
    <t>Rosen's Snake</t>
  </si>
  <si>
    <t>Suta ordensis</t>
  </si>
  <si>
    <t>Ord Snake</t>
  </si>
  <si>
    <t>Suta punctata</t>
  </si>
  <si>
    <t>Spotted Snake</t>
  </si>
  <si>
    <t>Suta suta</t>
  </si>
  <si>
    <t>Myall or Curl Snake</t>
  </si>
  <si>
    <t>Syncomistes rastellus</t>
  </si>
  <si>
    <t>Drysdale Grunter</t>
  </si>
  <si>
    <t>Synemon gratiosa</t>
  </si>
  <si>
    <t>Graceful Sunmoth</t>
  </si>
  <si>
    <t>Tachybaptus novaehollandiae</t>
  </si>
  <si>
    <t>Australasian Grebe</t>
  </si>
  <si>
    <t>Tachybaptus novaehollandiae novaehollandiae</t>
  </si>
  <si>
    <t>Tachybaptus ruficollis</t>
  </si>
  <si>
    <t>Little Grebe</t>
  </si>
  <si>
    <t>Tachyglossus aculeatus</t>
  </si>
  <si>
    <t>Short-beaked Echidna</t>
  </si>
  <si>
    <t>Tachyglossus aculeatus acanthion</t>
  </si>
  <si>
    <t>Tadorna radjah</t>
  </si>
  <si>
    <t>Radjah Shelduck</t>
  </si>
  <si>
    <t>Tadorna radjah rufitergum</t>
  </si>
  <si>
    <t>Burdekin Duck</t>
  </si>
  <si>
    <t>Tadorna tadornoides</t>
  </si>
  <si>
    <t>Australian Shelduck</t>
  </si>
  <si>
    <t>Taeniopygia bichenovii</t>
  </si>
  <si>
    <t>Double-barred Finch</t>
  </si>
  <si>
    <t>Taeniopygia bichenovii annulosa</t>
  </si>
  <si>
    <t>Taeniopygia guttata</t>
  </si>
  <si>
    <t>Zebra Finch</t>
  </si>
  <si>
    <t>Taeniopygia guttata castanotis</t>
  </si>
  <si>
    <t>Taphozous georgianus</t>
  </si>
  <si>
    <t>Common Sheath-tailed Bat</t>
  </si>
  <si>
    <t>Taphozous hilli</t>
  </si>
  <si>
    <t>Hill's Sheathtail-bat</t>
  </si>
  <si>
    <t>Taphozous kapalgensis</t>
  </si>
  <si>
    <t>Arnhem Sheath-tailed Bat</t>
  </si>
  <si>
    <t>Tarsipes rostratus</t>
  </si>
  <si>
    <t>Honey Possum</t>
  </si>
  <si>
    <t>Tartarus mullamullangensis</t>
  </si>
  <si>
    <t>Mullamullang Cave Spider</t>
  </si>
  <si>
    <t>Tartarus murdochensis</t>
  </si>
  <si>
    <t>Murdoch Sink Cave Spider</t>
  </si>
  <si>
    <t>Tartarus nurinensis</t>
  </si>
  <si>
    <t>Nurina Cave Spider</t>
  </si>
  <si>
    <t>Tartarus thampannensis</t>
  </si>
  <si>
    <t>Thampanna Cave Spider</t>
  </si>
  <si>
    <t>Tasmacetus shepherdi</t>
  </si>
  <si>
    <t>Shepherd's Beaked Whale</t>
  </si>
  <si>
    <t>Teyl sp (BY Main 1953/2683, 1984/13)</t>
  </si>
  <si>
    <t>Minnivale Trapdoor Spider</t>
  </si>
  <si>
    <t>Thalassarche carteri</t>
  </si>
  <si>
    <t>Indian Yellow-nosed Albatross</t>
  </si>
  <si>
    <t>Thalassarche cauta</t>
  </si>
  <si>
    <t>Shy Albatross</t>
  </si>
  <si>
    <t>Thalassarche cauta cauta</t>
  </si>
  <si>
    <t>Thalassarche cauta steadi</t>
  </si>
  <si>
    <t>White-capped Albatross</t>
  </si>
  <si>
    <t>Thalassarche chlororhynchos</t>
  </si>
  <si>
    <t>Atlantic Yellow-nosed Albatross</t>
  </si>
  <si>
    <t>Thalassarche chlororhynchos chlororhynchos</t>
  </si>
  <si>
    <t>Thalassarche chrysostoma</t>
  </si>
  <si>
    <t>Grey-headed Albatross</t>
  </si>
  <si>
    <t>Thalassarche impavida</t>
  </si>
  <si>
    <t>Campbell Albatross</t>
  </si>
  <si>
    <t>Thalassarche melanophris</t>
  </si>
  <si>
    <t>Black-browed Albatross</t>
  </si>
  <si>
    <t>Thalassarche salvini</t>
  </si>
  <si>
    <t>Salvin's Albatross</t>
  </si>
  <si>
    <t>Thalasseus bergii</t>
  </si>
  <si>
    <t>Thalassoica antarctica</t>
  </si>
  <si>
    <t>Antarctic Petrel</t>
  </si>
  <si>
    <t>Thinornis rubricollis</t>
  </si>
  <si>
    <t>Hooded Plover</t>
  </si>
  <si>
    <t>Threskiornis moluccus</t>
  </si>
  <si>
    <t>Australian White Ibis</t>
  </si>
  <si>
    <t>Threskiornis spinicollis</t>
  </si>
  <si>
    <t>Straw-necked Ibis</t>
  </si>
  <si>
    <t>Throscodectes xederoides</t>
  </si>
  <si>
    <t>Mogumber Bush Cricket</t>
  </si>
  <si>
    <t>Throscodectes xiphos</t>
  </si>
  <si>
    <t>Stylet Bush Cricket</t>
  </si>
  <si>
    <t>Tiliqua multifasciata</t>
  </si>
  <si>
    <t>Central Blue-tongue</t>
  </si>
  <si>
    <t>Tiliqua occipitalis</t>
  </si>
  <si>
    <t>Western Bluetongue</t>
  </si>
  <si>
    <t>Tiliqua rugosa</t>
  </si>
  <si>
    <t>Tiliqua rugosa aspera</t>
  </si>
  <si>
    <t>Tiliqua rugosa konowi</t>
  </si>
  <si>
    <t>Rottnest Island Bobtail</t>
  </si>
  <si>
    <t>Tiliqua rugosa palarra</t>
  </si>
  <si>
    <t>Tiliqua rugosa rugosa</t>
  </si>
  <si>
    <t>Tiliqua scincoides</t>
  </si>
  <si>
    <t>Eastern Blue-tongue</t>
  </si>
  <si>
    <t>Tiliqua scincoides intermedia</t>
  </si>
  <si>
    <t>Todiramphus chloris</t>
  </si>
  <si>
    <t>Collared Kingfisher</t>
  </si>
  <si>
    <t>Todiramphus chloris pilbara</t>
  </si>
  <si>
    <t>Pilbara Collared Kingfisher</t>
  </si>
  <si>
    <t>Todiramphus chloris sordidus</t>
  </si>
  <si>
    <t>Todiramphus macleayii</t>
  </si>
  <si>
    <t>Forest Kingfisher</t>
  </si>
  <si>
    <t>Todiramphus pyrrhopygius</t>
  </si>
  <si>
    <t>Red-backed Kingfisher</t>
  </si>
  <si>
    <t>Todiramphus sanctus</t>
  </si>
  <si>
    <t>Sacred Kingfisher</t>
  </si>
  <si>
    <t>Todiramphus sanctus sanctus</t>
  </si>
  <si>
    <t>Torresitrachia thedana</t>
  </si>
  <si>
    <t>Theda Station camaenid land snail</t>
  </si>
  <si>
    <t>Tribonyx ventralis</t>
  </si>
  <si>
    <t>Black-tailed Native-hen</t>
  </si>
  <si>
    <t>Trichoglossus haematodus</t>
  </si>
  <si>
    <t>Rainbow Lorikeet</t>
  </si>
  <si>
    <t>Trichoglossus haematodus moluccanus</t>
  </si>
  <si>
    <t>Trichoglossus haematodus rubritorquis</t>
  </si>
  <si>
    <t>Red-collared Lorikeet</t>
  </si>
  <si>
    <t>Trichoglossus versicolor</t>
  </si>
  <si>
    <t>Varied Lorikeet</t>
  </si>
  <si>
    <t>Trichosternus relictus</t>
  </si>
  <si>
    <t>a ground beetle (Margaret River)</t>
  </si>
  <si>
    <t>Trichosurus vulpecula</t>
  </si>
  <si>
    <t>Common Brushtail Possum</t>
  </si>
  <si>
    <t>Trichosurus vulpecula arnhemensis (Kimberley)</t>
  </si>
  <si>
    <t>northern brushtail possum (Kimberley)</t>
  </si>
  <si>
    <t>Trichosurus vulpecula hypoleucus</t>
  </si>
  <si>
    <t>Koomal</t>
  </si>
  <si>
    <t>Trichosurus vulpecula vulpecula</t>
  </si>
  <si>
    <t>Tringa brevipes</t>
  </si>
  <si>
    <t>Grey-tailed Tattler</t>
  </si>
  <si>
    <t>Tringa erythropus</t>
  </si>
  <si>
    <t>Spotted Redshank</t>
  </si>
  <si>
    <t>Tringa glareola</t>
  </si>
  <si>
    <t>Wood Sandpiper</t>
  </si>
  <si>
    <t>Tringa guttifer</t>
  </si>
  <si>
    <t>Nordmann's Greenshank</t>
  </si>
  <si>
    <t>Tringa incana</t>
  </si>
  <si>
    <t>Wandering Tattler</t>
  </si>
  <si>
    <t>Tringa nebularia</t>
  </si>
  <si>
    <t>Common Greenshank</t>
  </si>
  <si>
    <t>Tringa stagnatilis</t>
  </si>
  <si>
    <t>Marsh Sandpiper</t>
  </si>
  <si>
    <t>Tringa totanus</t>
  </si>
  <si>
    <t>Common Redshank</t>
  </si>
  <si>
    <t>Triops australiensis</t>
  </si>
  <si>
    <t>Shield Shrimp</t>
  </si>
  <si>
    <t>Triops australiensis australiensis</t>
  </si>
  <si>
    <t>Trioza barrettae</t>
  </si>
  <si>
    <t>Banksia brownii plant-louse</t>
  </si>
  <si>
    <t>Troglodiplura lowryi</t>
  </si>
  <si>
    <t>Nullarbor Cave Trapdoor Spider</t>
  </si>
  <si>
    <t>Tropidonophis mairii</t>
  </si>
  <si>
    <t>Keelback</t>
  </si>
  <si>
    <t>Tropidonophis mairii mairii</t>
  </si>
  <si>
    <t>Tryngites subruficollis</t>
  </si>
  <si>
    <t>Buff-breasted Sandpiper</t>
  </si>
  <si>
    <t>Turdus merula</t>
  </si>
  <si>
    <t>Eurasian Blackbird</t>
  </si>
  <si>
    <t>Turdus merula [merula]</t>
  </si>
  <si>
    <t>Turgenitubulus christenseni</t>
  </si>
  <si>
    <t>Christensen's camaenid land snail (central Ningbing Ranges)</t>
  </si>
  <si>
    <t>Turgenitubulus costus</t>
  </si>
  <si>
    <t>Turgenitubulus depressus</t>
  </si>
  <si>
    <t>a camaenid land snail (central Ningbing Ranges)</t>
  </si>
  <si>
    <t>Turgenitubulus foramenus</t>
  </si>
  <si>
    <t>Turgenitubulus opiranus</t>
  </si>
  <si>
    <t>Opir Hill camaenid land snail (central Ningbing Ranges)</t>
  </si>
  <si>
    <t>Turgenitubulus pagodula</t>
  </si>
  <si>
    <t>Pagoda camaenid land snail (The Gorge, central Ningbing Ranges)</t>
  </si>
  <si>
    <t>Turgenitubulus tanmurrana</t>
  </si>
  <si>
    <t>Tanmurra camaenid land snail (central Ningbing Ranges)</t>
  </si>
  <si>
    <t>Turnix castanota</t>
  </si>
  <si>
    <t>Chestnut-backed Button-quail</t>
  </si>
  <si>
    <t>Turnix maculosus</t>
  </si>
  <si>
    <t>Red-backed Button-quail</t>
  </si>
  <si>
    <t>Turnix maculosus melanotus</t>
  </si>
  <si>
    <t>Turnix pyrrhothorax</t>
  </si>
  <si>
    <t>Red-chested Button-quail</t>
  </si>
  <si>
    <t>Turnix varius</t>
  </si>
  <si>
    <t>Painted Button-quail</t>
  </si>
  <si>
    <t>Turnix varius scintillans</t>
  </si>
  <si>
    <t>Abrolhos Painted Button-quail</t>
  </si>
  <si>
    <t>Turnix varius varius</t>
  </si>
  <si>
    <t>Turnix velox</t>
  </si>
  <si>
    <t>Little Button-quail</t>
  </si>
  <si>
    <t>Tursiops aduncus</t>
  </si>
  <si>
    <t>Indo-Pacific Bottlenose Dolphin</t>
  </si>
  <si>
    <t>Tursiops truncatus</t>
  </si>
  <si>
    <t>Bottlenose Dolphin</t>
  </si>
  <si>
    <t>Tursiops truncatus truncatus</t>
  </si>
  <si>
    <t>Tympanocryptis centralis</t>
  </si>
  <si>
    <t>Central Earless Dragon</t>
  </si>
  <si>
    <t>Tympanocryptis cephalus</t>
  </si>
  <si>
    <t>Pebble Dragon</t>
  </si>
  <si>
    <t>Tympanocryptis houstoni</t>
  </si>
  <si>
    <t>Nullabor Earless Dragon</t>
  </si>
  <si>
    <t>Tympanocryptis lineata</t>
  </si>
  <si>
    <t>Lined Earless Dragon</t>
  </si>
  <si>
    <t>Tympanocryptis lineata macra</t>
  </si>
  <si>
    <t>Tyrannochthonius sp. 'Mesa A' (WAM T81480)</t>
  </si>
  <si>
    <t>a Tyrannochtonius pseudoscorption (Mesa A)</t>
  </si>
  <si>
    <t>Tyto alba</t>
  </si>
  <si>
    <t>Barn Owl</t>
  </si>
  <si>
    <t>Tyto alba delicatula</t>
  </si>
  <si>
    <t>Tyto longimembris</t>
  </si>
  <si>
    <t>Eastern Grass Owl</t>
  </si>
  <si>
    <t>Tyto novaehollandiae</t>
  </si>
  <si>
    <t>Masked Owl</t>
  </si>
  <si>
    <t>Tyto novaehollandiae kimberli</t>
  </si>
  <si>
    <t>Masked Owl (northern)</t>
  </si>
  <si>
    <t>Tyto novaehollandiae novaehollandiae</t>
  </si>
  <si>
    <t>Masked Owl (southwest)</t>
  </si>
  <si>
    <t>Underwoodisaurus milii</t>
  </si>
  <si>
    <t>Barking Gecko</t>
  </si>
  <si>
    <t>Underwoodisaurus seorsus</t>
  </si>
  <si>
    <t>Pilbara Barking Gecko</t>
  </si>
  <si>
    <t>Uperoleia aspera</t>
  </si>
  <si>
    <t>Derby Toadlet</t>
  </si>
  <si>
    <t>Uperoleia borealis</t>
  </si>
  <si>
    <t>Northern Taodlet</t>
  </si>
  <si>
    <t>Uperoleia crassa</t>
  </si>
  <si>
    <t>Fat Toadlet</t>
  </si>
  <si>
    <t>Uperoleia glandulosa</t>
  </si>
  <si>
    <t>Glandular Toadlet</t>
  </si>
  <si>
    <t>Uperoleia inundata</t>
  </si>
  <si>
    <t>Floodplain Toadlet</t>
  </si>
  <si>
    <t>Uperoleia lithomoda</t>
  </si>
  <si>
    <t>Stonemason Toadlet</t>
  </si>
  <si>
    <t>Uperoleia marmorata</t>
  </si>
  <si>
    <t>Marbled Toadlet (Kimberley)</t>
  </si>
  <si>
    <t>Uperoleia micra</t>
  </si>
  <si>
    <t>Tiny Toadlet</t>
  </si>
  <si>
    <t>Uperoleia micromeles</t>
  </si>
  <si>
    <t>Tanami Toadlet</t>
  </si>
  <si>
    <t>Uperoleia minima</t>
  </si>
  <si>
    <t>Small Toadlet (Mitchell Plateau)</t>
  </si>
  <si>
    <t>Uperoleia mjobergii</t>
  </si>
  <si>
    <t>West Kimberley Toadlet</t>
  </si>
  <si>
    <t>Uperoleia russelli</t>
  </si>
  <si>
    <t>Northwest Toadlet</t>
  </si>
  <si>
    <t>Uperoleia saxatilis</t>
  </si>
  <si>
    <t>Pilbara Toadlet</t>
  </si>
  <si>
    <t>Uperoleia stridera</t>
  </si>
  <si>
    <t>Mole Toadlet</t>
  </si>
  <si>
    <t>Uperoleia talpa</t>
  </si>
  <si>
    <t>Ratcheting Toadlet</t>
  </si>
  <si>
    <t>Uperoleia trachyderma</t>
  </si>
  <si>
    <t>Blacksoil Toadlet</t>
  </si>
  <si>
    <t>Vanellus miles</t>
  </si>
  <si>
    <t>Masked Lapwing</t>
  </si>
  <si>
    <t>Vanellus miles miles</t>
  </si>
  <si>
    <t>Vanellus miles novaehollandiae</t>
  </si>
  <si>
    <t>Vanellus tricolor</t>
  </si>
  <si>
    <t>Banded Lapwing</t>
  </si>
  <si>
    <t>Varanus acanthurus</t>
  </si>
  <si>
    <t>Spiny-tailed Monitor</t>
  </si>
  <si>
    <t>Varanus brevicauda</t>
  </si>
  <si>
    <t>Short-tailed Pygmy Monitor</t>
  </si>
  <si>
    <t>Varanus bushi</t>
  </si>
  <si>
    <t>Pilbara Mulga Monitor</t>
  </si>
  <si>
    <t>Varanus caudolineatus</t>
  </si>
  <si>
    <t>Varanus eremius</t>
  </si>
  <si>
    <t>Pygmy Desert Monitor</t>
  </si>
  <si>
    <t>Varanus giganteus</t>
  </si>
  <si>
    <t>Perentie</t>
  </si>
  <si>
    <t>Varanus gilleni</t>
  </si>
  <si>
    <t>Pygmy Mulga Monitor</t>
  </si>
  <si>
    <t>Varanus glauerti</t>
  </si>
  <si>
    <t>Kimberley Rock Monitor</t>
  </si>
  <si>
    <t>Varanus glebopalma</t>
  </si>
  <si>
    <t>Black-palmed Rock Monitor</t>
  </si>
  <si>
    <t>Varanus gouldii</t>
  </si>
  <si>
    <t>Bungarra or Sand Monitor</t>
  </si>
  <si>
    <t>Varanus hamersleyensis</t>
  </si>
  <si>
    <t>Southern Pilbara Rock Goanna</t>
  </si>
  <si>
    <t>Varanus kingorum</t>
  </si>
  <si>
    <t>Varanus mertensi</t>
  </si>
  <si>
    <t>Merten's Water Monitor</t>
  </si>
  <si>
    <t>Varanus mitchelli</t>
  </si>
  <si>
    <t>Mitchell's Water Monitor</t>
  </si>
  <si>
    <t>Varanus panoptes</t>
  </si>
  <si>
    <t>Yellow-spotted Monitor</t>
  </si>
  <si>
    <t>Varanus panoptes panoptes</t>
  </si>
  <si>
    <t>Varanus panoptes rubidus</t>
  </si>
  <si>
    <t>Varanus pilbarensis</t>
  </si>
  <si>
    <t>Pilbara Rock Monitor</t>
  </si>
  <si>
    <t>Varanus rosenbergi</t>
  </si>
  <si>
    <t>Heath Monitor</t>
  </si>
  <si>
    <t>Varanus scalaris</t>
  </si>
  <si>
    <t>Spotted Tree Monitor</t>
  </si>
  <si>
    <t>Varanus sparnus</t>
  </si>
  <si>
    <t>Dampier Peninsula Goanna</t>
  </si>
  <si>
    <t>Varanus storri</t>
  </si>
  <si>
    <t>Varanus storri ocreatus</t>
  </si>
  <si>
    <t>Varanus tristis</t>
  </si>
  <si>
    <t>Racehorse Monitor</t>
  </si>
  <si>
    <t>Varanus tristis tristis</t>
  </si>
  <si>
    <t>Vermicella intermedia</t>
  </si>
  <si>
    <t>Vermicella multifasciata</t>
  </si>
  <si>
    <t>Vermicella snelli</t>
  </si>
  <si>
    <t>Vespadelus baverstocki</t>
  </si>
  <si>
    <t>Inland Forest Bat</t>
  </si>
  <si>
    <t>Vespadelus caurinus</t>
  </si>
  <si>
    <t>Western Cave Bat</t>
  </si>
  <si>
    <t>Vespadelus douglasorum</t>
  </si>
  <si>
    <t>Yellow-lipped Cave Bat</t>
  </si>
  <si>
    <t>Vespadelus finlaysoni</t>
  </si>
  <si>
    <t>Finlayson's Cave Bat</t>
  </si>
  <si>
    <t>Vespadelus regulus</t>
  </si>
  <si>
    <t>Southern Forest Bat</t>
  </si>
  <si>
    <t>Vulpes vulpes</t>
  </si>
  <si>
    <t>Red Fox</t>
  </si>
  <si>
    <t>Welesina kornickeri</t>
  </si>
  <si>
    <t>Kornicker's Bundera Sinkhole ostracod</t>
  </si>
  <si>
    <t>Westraltrachia alterna</t>
  </si>
  <si>
    <t>a camaenid land snail (McSherry Gap and Cyclad Hill)</t>
  </si>
  <si>
    <t>Westraltrachia inopinata</t>
  </si>
  <si>
    <t>a camaenid land snail (Yanmera Gap)</t>
  </si>
  <si>
    <t>Westraltrachia lievreana</t>
  </si>
  <si>
    <t>Le Lievre Ridge camaenid land snail</t>
  </si>
  <si>
    <t>Westraltrachia recta</t>
  </si>
  <si>
    <t>a camaenid land snail (Limestone Billy Hills)</t>
  </si>
  <si>
    <t>Westraltrachia subtila</t>
  </si>
  <si>
    <t>a camaenid land snail (Ninety Seven Mile Creek)</t>
  </si>
  <si>
    <t>Westraltrachia turbinata</t>
  </si>
  <si>
    <t>Westralunio carteri</t>
  </si>
  <si>
    <t>Carter's Freshwater Mussel</t>
  </si>
  <si>
    <t>Windbalea viride</t>
  </si>
  <si>
    <t>green west wind katydid (Albany-Cape Riche)</t>
  </si>
  <si>
    <t>Wyulda squamicaudata</t>
  </si>
  <si>
    <t>Scaly-tailed Possum</t>
  </si>
  <si>
    <t>Xenus cinereus</t>
  </si>
  <si>
    <t>Terek Sandpiper</t>
  </si>
  <si>
    <t>Zaglossus bruijnii</t>
  </si>
  <si>
    <t>Western Long-beaked Echidna</t>
  </si>
  <si>
    <t>Zephyrarchaea barrettae</t>
  </si>
  <si>
    <t>Talyuberlup Assassin Spider</t>
  </si>
  <si>
    <t>Zephyrarchaea mainae</t>
  </si>
  <si>
    <t>Main's assasin spider</t>
  </si>
  <si>
    <t>Zephyrarchaea marki</t>
  </si>
  <si>
    <t>Cape Le Grand Assassin Spider</t>
  </si>
  <si>
    <t>Zephyrarchaea melindae</t>
  </si>
  <si>
    <t>Toolbrunup Assassin Spider</t>
  </si>
  <si>
    <t>Zephyrarchaea robinsi</t>
  </si>
  <si>
    <t>Eastern Massif Assassin Spider</t>
  </si>
  <si>
    <t>Ziphius cavirostris</t>
  </si>
  <si>
    <t>Cuvier's Beaked Whale</t>
  </si>
  <si>
    <t>Zosterops lateralis</t>
  </si>
  <si>
    <t>Grey-breasted White-eye</t>
  </si>
  <si>
    <t>Zosterops lateralis chloronotus</t>
  </si>
  <si>
    <t>Zosterops luteus</t>
  </si>
  <si>
    <t>Yellow White-eye</t>
  </si>
  <si>
    <t>Zyzomys argurus</t>
  </si>
  <si>
    <t>Common Rock-rat</t>
  </si>
  <si>
    <t>Zyzomys pedunculatus</t>
  </si>
  <si>
    <t>Central Rock-rat</t>
  </si>
  <si>
    <t>Zyzomys woodwardi</t>
  </si>
  <si>
    <t>Kimberley Rock-rat</t>
  </si>
  <si>
    <t>TAG ID</t>
  </si>
  <si>
    <t>TAG ID 2</t>
  </si>
  <si>
    <t>Provide the unique identifer (e.g. ear tag or microchip number) associated with the corresponding method chosen in "Marking Method".</t>
  </si>
  <si>
    <t>Provide the unique identifer (e.g. ear tag or microchip number) associated with the corresponding method chosen in "Marking Method 2".</t>
  </si>
  <si>
    <t>TAG_ID</t>
  </si>
  <si>
    <t>TAG_ID_2</t>
  </si>
  <si>
    <t>Direct observation (e.g. bird survey, mound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</si>
</sst>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5" x14ac:knownFonts="1">
    <font>
      <sz val="11"/>
      <color theme="1"/>
      <name val="Calibri"/>
      <family val="2"/>
      <scheme val="minor"/>
    </font>
    <font>
      <b/>
      <sz val="11"/>
      <color theme="1"/>
      <name val="Calibri"/>
      <family val="2"/>
      <scheme val="minor"/>
    </font>
    <font>
      <b/>
      <sz val="16"/>
      <color theme="1"/>
      <name val="Calibri"/>
      <family val="2"/>
      <scheme val="minor"/>
    </font>
    <font>
      <b/>
      <sz val="11"/>
      <color rgb="FFFF0000"/>
      <name val="Calibri"/>
      <family val="2"/>
      <scheme val="minor"/>
    </font>
    <font>
      <b/>
      <sz val="16"/>
      <color rgb="FFFF0000"/>
      <name val="Calibri"/>
      <family val="2"/>
      <scheme val="minor"/>
    </font>
    <font>
      <sz val="11"/>
      <name val="Calibri"/>
      <family val="2"/>
    </font>
    <font>
      <b/>
      <sz val="11"/>
      <name val="Calibri"/>
      <family val="2"/>
    </font>
    <font>
      <sz val="10"/>
      <color indexed="8"/>
      <name val="Arial"/>
      <family val="2"/>
    </font>
    <font>
      <sz val="11"/>
      <color indexed="8"/>
      <name val="Calibri"/>
      <family val="2"/>
    </font>
    <font>
      <sz val="11"/>
      <color theme="1"/>
      <name val="Calibri"/>
      <family val="2"/>
    </font>
    <font>
      <i/>
      <sz val="11"/>
      <color theme="1"/>
      <name val="Calibri"/>
      <family val="2"/>
      <scheme val="minor"/>
    </font>
    <font>
      <b/>
      <i/>
      <sz val="11"/>
      <color rgb="FFFF0000"/>
      <name val="Calibri"/>
      <family val="2"/>
      <scheme val="minor"/>
    </font>
    <font>
      <i/>
      <sz val="11"/>
      <color rgb="FFFF0000"/>
      <name val="Calibri"/>
      <family val="2"/>
      <scheme val="minor"/>
    </font>
    <font>
      <i/>
      <sz val="11"/>
      <color rgb="FFFF0000"/>
      <name val="Calibri"/>
      <family val="2"/>
    </font>
    <font>
      <i/>
      <sz val="11"/>
      <color theme="1"/>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2F2F2"/>
        <bgColor indexed="64"/>
      </patternFill>
    </fill>
    <fill>
      <patternFill patternType="solid">
        <fgColor theme="7" tint="0.59999389629810485"/>
        <bgColor indexed="64"/>
      </patternFill>
    </fill>
    <fill>
      <patternFill patternType="solid">
        <fgColor theme="5" tint="0.59999389629810485"/>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right style="thin">
        <color indexed="22"/>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3">
    <xf numFmtId="0" fontId="0" fillId="0" borderId="0"/>
    <xf numFmtId="0" fontId="7" fillId="0" borderId="0"/>
    <xf numFmtId="0" fontId="7" fillId="0" borderId="0"/>
  </cellStyleXfs>
  <cellXfs count="115">
    <xf numFmtId="0" fontId="0" fillId="0" borderId="0" xfId="0"/>
    <xf numFmtId="0" fontId="2" fillId="0" borderId="0" xfId="0" applyFont="1"/>
    <xf numFmtId="0" fontId="1" fillId="0" borderId="0" xfId="0" applyFont="1"/>
    <xf numFmtId="0" fontId="1" fillId="0" borderId="0" xfId="0" applyFont="1" applyAlignment="1">
      <alignment wrapText="1"/>
    </xf>
    <xf numFmtId="0" fontId="3" fillId="0" borderId="0" xfId="0" applyFont="1"/>
    <xf numFmtId="0" fontId="4" fillId="0" borderId="0" xfId="0" applyFont="1" applyAlignment="1">
      <alignment horizontal="left"/>
    </xf>
    <xf numFmtId="0" fontId="1" fillId="0" borderId="0" xfId="0" applyFont="1" applyAlignment="1">
      <alignment horizontal="left" wrapText="1"/>
    </xf>
    <xf numFmtId="0" fontId="1" fillId="0" borderId="1" xfId="0" applyFont="1" applyBorder="1"/>
    <xf numFmtId="0" fontId="1" fillId="0" borderId="1" xfId="0" applyFont="1" applyBorder="1" applyAlignment="1">
      <alignment wrapText="1"/>
    </xf>
    <xf numFmtId="0" fontId="5" fillId="0" borderId="1" xfId="0" applyFont="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2" xfId="0" applyBorder="1"/>
    <xf numFmtId="0" fontId="0" fillId="0" borderId="2" xfId="0" applyBorder="1" applyAlignment="1">
      <alignment wrapText="1"/>
    </xf>
    <xf numFmtId="0" fontId="0" fillId="0" borderId="3" xfId="0" applyBorder="1"/>
    <xf numFmtId="0" fontId="0" fillId="0" borderId="3" xfId="0" applyBorder="1" applyAlignment="1">
      <alignment wrapText="1"/>
    </xf>
    <xf numFmtId="0" fontId="0" fillId="2" borderId="3" xfId="0" applyFill="1" applyBorder="1" applyAlignment="1">
      <alignment wrapText="1"/>
    </xf>
    <xf numFmtId="0" fontId="0" fillId="0" borderId="4" xfId="0" applyBorder="1"/>
    <xf numFmtId="0" fontId="0" fillId="0" borderId="4" xfId="0" applyBorder="1" applyAlignment="1">
      <alignment wrapText="1"/>
    </xf>
    <xf numFmtId="0" fontId="0" fillId="2" borderId="4" xfId="0" applyFill="1" applyBorder="1" applyAlignment="1">
      <alignment wrapText="1"/>
    </xf>
    <xf numFmtId="0" fontId="0" fillId="0" borderId="0" xfId="0" applyAlignment="1">
      <alignment wrapText="1"/>
    </xf>
    <xf numFmtId="0" fontId="8" fillId="0" borderId="5" xfId="1" applyFont="1" applyBorder="1" applyAlignment="1">
      <alignment wrapText="1"/>
    </xf>
    <xf numFmtId="0" fontId="8" fillId="0" borderId="0" xfId="2" applyFont="1" applyAlignment="1">
      <alignment wrapText="1"/>
    </xf>
    <xf numFmtId="0" fontId="8" fillId="0" borderId="6" xfId="1" applyFont="1" applyBorder="1" applyAlignment="1">
      <alignment wrapText="1"/>
    </xf>
    <xf numFmtId="0" fontId="8" fillId="0" borderId="5" xfId="2" applyFont="1" applyBorder="1" applyAlignment="1">
      <alignment wrapText="1"/>
    </xf>
    <xf numFmtId="0" fontId="8" fillId="0" borderId="6" xfId="2" applyFont="1" applyBorder="1" applyAlignment="1">
      <alignment wrapText="1"/>
    </xf>
    <xf numFmtId="0" fontId="8" fillId="0" borderId="0" xfId="1" applyFont="1" applyAlignment="1">
      <alignment wrapText="1"/>
    </xf>
    <xf numFmtId="0" fontId="8" fillId="0" borderId="0" xfId="2" applyFont="1" applyAlignment="1">
      <alignment horizontal="center"/>
    </xf>
    <xf numFmtId="0" fontId="8" fillId="0" borderId="7" xfId="2" applyFont="1" applyBorder="1" applyAlignment="1">
      <alignment wrapText="1"/>
    </xf>
    <xf numFmtId="0" fontId="7" fillId="0" borderId="0" xfId="2" applyAlignment="1">
      <alignment wrapText="1"/>
    </xf>
    <xf numFmtId="0" fontId="7" fillId="0" borderId="0" xfId="2" applyAlignment="1">
      <alignment horizontal="right" wrapText="1"/>
    </xf>
    <xf numFmtId="164" fontId="7" fillId="0" borderId="0" xfId="2" applyNumberFormat="1" applyAlignment="1">
      <alignment horizontal="right" wrapText="1"/>
    </xf>
    <xf numFmtId="0" fontId="9" fillId="0" borderId="5" xfId="0" applyFont="1" applyBorder="1" applyAlignment="1">
      <alignment wrapText="1"/>
    </xf>
    <xf numFmtId="0" fontId="7" fillId="0" borderId="5" xfId="2" applyBorder="1" applyAlignment="1">
      <alignment wrapText="1"/>
    </xf>
    <xf numFmtId="0" fontId="6" fillId="0" borderId="0" xfId="0" applyFont="1" applyAlignment="1">
      <alignment wrapText="1"/>
    </xf>
    <xf numFmtId="0" fontId="9" fillId="0" borderId="0" xfId="0" applyFont="1" applyAlignment="1">
      <alignment wrapText="1"/>
    </xf>
    <xf numFmtId="0" fontId="8" fillId="0" borderId="0" xfId="2" applyFont="1" applyAlignment="1">
      <alignment horizontal="center" wrapText="1"/>
    </xf>
    <xf numFmtId="0" fontId="7" fillId="0" borderId="0" xfId="2" applyAlignment="1">
      <alignment horizontal="center" wrapText="1"/>
    </xf>
    <xf numFmtId="0" fontId="8" fillId="0" borderId="5" xfId="1" applyFont="1" applyBorder="1"/>
    <xf numFmtId="0" fontId="8" fillId="0" borderId="0" xfId="2" applyFont="1"/>
    <xf numFmtId="0" fontId="8" fillId="0" borderId="6" xfId="1" applyFont="1" applyBorder="1"/>
    <xf numFmtId="0" fontId="9" fillId="0" borderId="0" xfId="0" applyFont="1"/>
    <xf numFmtId="0" fontId="8" fillId="0" borderId="5" xfId="2" applyFont="1" applyBorder="1"/>
    <xf numFmtId="0" fontId="8" fillId="0" borderId="6" xfId="2" applyFont="1" applyBorder="1"/>
    <xf numFmtId="0" fontId="8" fillId="0" borderId="0" xfId="1" applyFont="1"/>
    <xf numFmtId="0" fontId="9" fillId="0" borderId="5" xfId="0" applyFont="1" applyBorder="1"/>
    <xf numFmtId="0" fontId="6" fillId="0" borderId="1" xfId="0" applyFont="1" applyBorder="1"/>
    <xf numFmtId="0" fontId="6" fillId="0" borderId="8" xfId="0" applyFont="1" applyBorder="1"/>
    <xf numFmtId="0" fontId="6" fillId="0" borderId="9" xfId="0" applyFont="1" applyBorder="1"/>
    <xf numFmtId="0" fontId="6" fillId="0" borderId="10" xfId="0" applyFont="1" applyBorder="1"/>
    <xf numFmtId="0" fontId="6" fillId="0" borderId="3" xfId="0" applyFont="1" applyBorder="1"/>
    <xf numFmtId="0" fontId="0" fillId="2" borderId="1" xfId="0" applyFill="1" applyBorder="1"/>
    <xf numFmtId="0" fontId="10" fillId="0" borderId="1" xfId="0" applyFont="1" applyBorder="1"/>
    <xf numFmtId="0" fontId="0" fillId="0" borderId="13" xfId="0" applyBorder="1"/>
    <xf numFmtId="0" fontId="0" fillId="0" borderId="14" xfId="0" applyBorder="1"/>
    <xf numFmtId="0" fontId="0" fillId="0" borderId="15" xfId="0" applyBorder="1"/>
    <xf numFmtId="0" fontId="6" fillId="0" borderId="16" xfId="0" applyFont="1" applyBorder="1"/>
    <xf numFmtId="0" fontId="6" fillId="0" borderId="17" xfId="0" applyFont="1" applyBorder="1"/>
    <xf numFmtId="0" fontId="1" fillId="0" borderId="17" xfId="0" applyFont="1" applyBorder="1"/>
    <xf numFmtId="0" fontId="1" fillId="0" borderId="18" xfId="0" applyFont="1" applyBorder="1"/>
    <xf numFmtId="0" fontId="11" fillId="4" borderId="19" xfId="0" applyFont="1" applyFill="1" applyBorder="1"/>
    <xf numFmtId="0" fontId="12" fillId="4" borderId="20" xfId="0" applyFont="1" applyFill="1" applyBorder="1"/>
    <xf numFmtId="0" fontId="12" fillId="4" borderId="21" xfId="0" applyFont="1" applyFill="1" applyBorder="1"/>
    <xf numFmtId="0" fontId="12" fillId="4" borderId="22" xfId="0" applyFont="1" applyFill="1" applyBorder="1"/>
    <xf numFmtId="0" fontId="12" fillId="4" borderId="1" xfId="0" applyFont="1" applyFill="1" applyBorder="1"/>
    <xf numFmtId="14" fontId="13" fillId="4" borderId="1" xfId="0" applyNumberFormat="1" applyFont="1" applyFill="1" applyBorder="1"/>
    <xf numFmtId="0" fontId="13" fillId="4" borderId="1" xfId="0" applyFont="1" applyFill="1" applyBorder="1"/>
    <xf numFmtId="0" fontId="14" fillId="4" borderId="23" xfId="0" applyFont="1" applyFill="1" applyBorder="1"/>
    <xf numFmtId="0" fontId="12" fillId="4" borderId="1" xfId="1" applyFont="1" applyFill="1" applyBorder="1" applyAlignment="1">
      <alignment wrapText="1"/>
    </xf>
    <xf numFmtId="0" fontId="13" fillId="4" borderId="23" xfId="0" applyFont="1" applyFill="1" applyBorder="1"/>
    <xf numFmtId="0" fontId="12" fillId="4" borderId="24" xfId="0" applyFont="1" applyFill="1" applyBorder="1"/>
    <xf numFmtId="0" fontId="12" fillId="4" borderId="25" xfId="0" applyFont="1" applyFill="1" applyBorder="1"/>
    <xf numFmtId="14" fontId="13" fillId="4" borderId="25" xfId="0" applyNumberFormat="1" applyFont="1" applyFill="1" applyBorder="1"/>
    <xf numFmtId="0" fontId="13" fillId="4" borderId="25" xfId="0" applyFont="1" applyFill="1" applyBorder="1"/>
    <xf numFmtId="0" fontId="14" fillId="4" borderId="26" xfId="0" applyFont="1" applyFill="1" applyBorder="1"/>
    <xf numFmtId="0" fontId="0" fillId="0" borderId="27" xfId="0" applyBorder="1"/>
    <xf numFmtId="0" fontId="10" fillId="0" borderId="28" xfId="0" applyFont="1" applyBorder="1"/>
    <xf numFmtId="0" fontId="14" fillId="0" borderId="28" xfId="0" applyFont="1" applyBorder="1"/>
    <xf numFmtId="0" fontId="14" fillId="0" borderId="29" xfId="0" applyFont="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10" xfId="0" applyBorder="1"/>
    <xf numFmtId="0" fontId="10" fillId="0" borderId="10" xfId="0" applyFont="1" applyBorder="1"/>
    <xf numFmtId="0" fontId="6" fillId="0" borderId="30" xfId="0" applyFont="1" applyBorder="1"/>
    <xf numFmtId="0" fontId="6" fillId="0" borderId="31" xfId="0" applyFont="1" applyBorder="1"/>
    <xf numFmtId="0" fontId="6" fillId="0" borderId="32" xfId="0" applyFont="1" applyBorder="1"/>
    <xf numFmtId="0" fontId="6" fillId="0" borderId="33" xfId="0" applyFont="1" applyBorder="1"/>
    <xf numFmtId="0" fontId="0" fillId="0" borderId="34" xfId="0" applyBorder="1"/>
    <xf numFmtId="0" fontId="0" fillId="0" borderId="35" xfId="0" applyBorder="1"/>
    <xf numFmtId="0" fontId="10" fillId="0" borderId="34" xfId="0" applyFont="1" applyBorder="1"/>
    <xf numFmtId="0" fontId="10" fillId="0" borderId="35" xfId="0" applyFont="1" applyBorder="1"/>
    <xf numFmtId="0" fontId="0" fillId="0" borderId="36" xfId="0" applyBorder="1"/>
    <xf numFmtId="0" fontId="0" fillId="0" borderId="37" xfId="0" applyBorder="1"/>
    <xf numFmtId="0" fontId="0" fillId="0" borderId="39" xfId="0" applyBorder="1"/>
    <xf numFmtId="0" fontId="0" fillId="5" borderId="1" xfId="0" applyFill="1" applyBorder="1"/>
    <xf numFmtId="0" fontId="0" fillId="5" borderId="8" xfId="0" applyFill="1" applyBorder="1"/>
    <xf numFmtId="0" fontId="1" fillId="5" borderId="1" xfId="0" applyFont="1" applyFill="1" applyBorder="1"/>
    <xf numFmtId="0" fontId="10" fillId="5" borderId="1" xfId="0" applyFont="1" applyFill="1" applyBorder="1"/>
    <xf numFmtId="0" fontId="0" fillId="5" borderId="10" xfId="0" applyFill="1" applyBorder="1"/>
    <xf numFmtId="0" fontId="10" fillId="5" borderId="10" xfId="0" applyFont="1" applyFill="1" applyBorder="1"/>
    <xf numFmtId="0" fontId="0" fillId="6" borderId="1" xfId="0" applyFill="1" applyBorder="1"/>
    <xf numFmtId="0" fontId="0" fillId="5" borderId="37" xfId="0" applyFill="1" applyBorder="1"/>
    <xf numFmtId="0" fontId="0" fillId="5" borderId="38" xfId="0" applyFill="1" applyBorder="1"/>
    <xf numFmtId="0" fontId="6" fillId="0" borderId="11" xfId="0" applyFont="1" applyBorder="1"/>
    <xf numFmtId="0" fontId="6" fillId="0" borderId="12" xfId="0" applyFont="1" applyBorder="1"/>
    <xf numFmtId="0" fontId="5" fillId="0" borderId="0" xfId="0" applyFont="1"/>
    <xf numFmtId="14" fontId="0" fillId="0" borderId="1" xfId="0" applyNumberFormat="1" applyBorder="1" applyAlignment="1">
      <alignment wrapText="1"/>
    </xf>
    <xf numFmtId="0" fontId="0" fillId="5" borderId="1" xfId="0" applyFill="1" applyBorder="1" applyAlignment="1">
      <alignment wrapText="1"/>
    </xf>
    <xf numFmtId="0" fontId="6" fillId="0" borderId="1" xfId="0" applyFont="1" applyBorder="1" applyAlignment="1">
      <alignment wrapText="1"/>
    </xf>
    <xf numFmtId="0" fontId="6" fillId="0" borderId="10" xfId="0" applyFont="1" applyBorder="1" applyAlignment="1">
      <alignment wrapText="1"/>
    </xf>
  </cellXfs>
  <cellStyles count="3">
    <cellStyle name="Normal" xfId="0" builtinId="0"/>
    <cellStyle name="Normal_LookUp values" xfId="2" xr:uid="{FEB893C2-51BA-4DFD-B9E5-39FFBBB1E0DD}"/>
    <cellStyle name="Normal_Sheet3" xfId="1" xr:uid="{5865BC2E-61CE-4655-A9EB-42967BE50C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3619-2BDF-44F1-8DE8-E673A14919E0}">
  <dimension ref="A1:D39"/>
  <sheetViews>
    <sheetView workbookViewId="0">
      <selection activeCell="A31" sqref="A31"/>
    </sheetView>
  </sheetViews>
  <sheetFormatPr defaultRowHeight="15" x14ac:dyDescent="0.25"/>
  <cols>
    <col min="1" max="1" width="30.7109375" customWidth="1"/>
    <col min="2" max="2" width="16.85546875" customWidth="1"/>
    <col min="3" max="3" width="60.7109375" customWidth="1"/>
    <col min="4" max="4" width="47" customWidth="1"/>
  </cols>
  <sheetData>
    <row r="1" spans="1:4" ht="21" x14ac:dyDescent="0.35">
      <c r="A1" s="1" t="s">
        <v>0</v>
      </c>
      <c r="B1" s="2"/>
      <c r="C1" s="3"/>
      <c r="D1" s="3"/>
    </row>
    <row r="2" spans="1:4" ht="21" x14ac:dyDescent="0.35">
      <c r="A2" s="1" t="s">
        <v>1</v>
      </c>
      <c r="B2" s="2"/>
      <c r="C2" s="3"/>
      <c r="D2" s="3"/>
    </row>
    <row r="3" spans="1:4" x14ac:dyDescent="0.25">
      <c r="A3" s="4"/>
      <c r="B3" s="2"/>
      <c r="C3" s="3"/>
      <c r="D3" s="3"/>
    </row>
    <row r="4" spans="1:4" ht="21" x14ac:dyDescent="0.35">
      <c r="A4" s="5" t="s">
        <v>2</v>
      </c>
      <c r="B4" s="5"/>
      <c r="C4" s="5"/>
      <c r="D4" s="6"/>
    </row>
    <row r="5" spans="1:4" x14ac:dyDescent="0.25">
      <c r="A5" s="4"/>
      <c r="B5" s="2"/>
      <c r="C5" s="3"/>
      <c r="D5" s="3"/>
    </row>
    <row r="6" spans="1:4" x14ac:dyDescent="0.25">
      <c r="A6" s="7" t="s">
        <v>3</v>
      </c>
      <c r="B6" s="7" t="s">
        <v>4</v>
      </c>
      <c r="C6" s="8" t="s">
        <v>5</v>
      </c>
      <c r="D6" s="8" t="s">
        <v>6</v>
      </c>
    </row>
    <row r="7" spans="1:4" x14ac:dyDescent="0.25">
      <c r="A7" s="9" t="s">
        <v>7</v>
      </c>
      <c r="B7" s="10"/>
      <c r="C7" s="11" t="s">
        <v>8</v>
      </c>
      <c r="D7" s="11"/>
    </row>
    <row r="8" spans="1:4" ht="60" x14ac:dyDescent="0.25">
      <c r="A8" s="10" t="s">
        <v>9</v>
      </c>
      <c r="B8" s="10" t="s">
        <v>10</v>
      </c>
      <c r="C8" s="11" t="s">
        <v>11</v>
      </c>
      <c r="D8" s="11"/>
    </row>
    <row r="9" spans="1:4" ht="30" x14ac:dyDescent="0.25">
      <c r="A9" s="10" t="s">
        <v>12</v>
      </c>
      <c r="B9" s="10"/>
      <c r="C9" s="11" t="s">
        <v>13</v>
      </c>
      <c r="D9" s="11"/>
    </row>
    <row r="10" spans="1:4" ht="30" x14ac:dyDescent="0.25">
      <c r="A10" s="10" t="s">
        <v>14</v>
      </c>
      <c r="B10" s="10"/>
      <c r="C10" s="11" t="s">
        <v>15</v>
      </c>
      <c r="D10" s="11"/>
    </row>
    <row r="11" spans="1:4" ht="60" x14ac:dyDescent="0.25">
      <c r="A11" s="10" t="s">
        <v>16</v>
      </c>
      <c r="B11" s="11" t="s">
        <v>17</v>
      </c>
      <c r="C11" s="11" t="s">
        <v>18</v>
      </c>
      <c r="D11" s="12" t="s">
        <v>19</v>
      </c>
    </row>
    <row r="12" spans="1:4" ht="45" x14ac:dyDescent="0.25">
      <c r="A12" s="10" t="s">
        <v>20</v>
      </c>
      <c r="B12" s="10" t="s">
        <v>21</v>
      </c>
      <c r="C12" s="11" t="s">
        <v>22</v>
      </c>
      <c r="D12" s="11" t="s">
        <v>23</v>
      </c>
    </row>
    <row r="13" spans="1:4" ht="30" x14ac:dyDescent="0.25">
      <c r="A13" s="10" t="s">
        <v>24</v>
      </c>
      <c r="B13" s="10" t="s">
        <v>25</v>
      </c>
      <c r="C13" s="11" t="s">
        <v>26</v>
      </c>
      <c r="D13" s="11" t="s">
        <v>23</v>
      </c>
    </row>
    <row r="14" spans="1:4" ht="60" x14ac:dyDescent="0.25">
      <c r="A14" s="10" t="s">
        <v>27</v>
      </c>
      <c r="B14" s="11" t="s">
        <v>28</v>
      </c>
      <c r="C14" s="11" t="s">
        <v>29</v>
      </c>
      <c r="D14" s="11" t="s">
        <v>30</v>
      </c>
    </row>
    <row r="15" spans="1:4" ht="30" x14ac:dyDescent="0.25">
      <c r="A15" s="10" t="s">
        <v>31</v>
      </c>
      <c r="B15" s="10" t="s">
        <v>32</v>
      </c>
      <c r="C15" s="11" t="s">
        <v>33</v>
      </c>
      <c r="D15" s="11" t="s">
        <v>34</v>
      </c>
    </row>
    <row r="16" spans="1:4" ht="30" x14ac:dyDescent="0.25">
      <c r="A16" s="10" t="s">
        <v>35</v>
      </c>
      <c r="B16" s="10" t="s">
        <v>36</v>
      </c>
      <c r="C16" s="11" t="s">
        <v>37</v>
      </c>
      <c r="D16" s="11" t="s">
        <v>38</v>
      </c>
    </row>
    <row r="17" spans="1:4" ht="90" x14ac:dyDescent="0.25">
      <c r="A17" s="10" t="s">
        <v>39</v>
      </c>
      <c r="B17" s="11" t="s">
        <v>40</v>
      </c>
      <c r="C17" s="11" t="s">
        <v>41</v>
      </c>
      <c r="D17" s="12" t="s">
        <v>42</v>
      </c>
    </row>
    <row r="18" spans="1:4" ht="30" x14ac:dyDescent="0.25">
      <c r="A18" s="10" t="s">
        <v>43</v>
      </c>
      <c r="B18" s="10" t="s">
        <v>44</v>
      </c>
      <c r="C18" s="11" t="s">
        <v>45</v>
      </c>
      <c r="D18" s="11"/>
    </row>
    <row r="19" spans="1:4" x14ac:dyDescent="0.25">
      <c r="A19" s="10" t="s">
        <v>46</v>
      </c>
      <c r="B19" s="10"/>
      <c r="C19" s="11" t="s">
        <v>47</v>
      </c>
      <c r="D19" s="12" t="s">
        <v>19</v>
      </c>
    </row>
    <row r="20" spans="1:4" ht="30" x14ac:dyDescent="0.25">
      <c r="A20" s="10" t="s">
        <v>48</v>
      </c>
      <c r="B20" s="10"/>
      <c r="C20" s="11" t="s">
        <v>49</v>
      </c>
      <c r="D20" s="13" t="s">
        <v>50</v>
      </c>
    </row>
    <row r="21" spans="1:4" ht="30" x14ac:dyDescent="0.25">
      <c r="A21" s="10" t="s">
        <v>51</v>
      </c>
      <c r="B21" s="10"/>
      <c r="C21" s="11" t="s">
        <v>52</v>
      </c>
      <c r="D21" s="13" t="s">
        <v>50</v>
      </c>
    </row>
    <row r="22" spans="1:4" ht="180" x14ac:dyDescent="0.25">
      <c r="A22" s="10" t="s">
        <v>53</v>
      </c>
      <c r="B22" s="11" t="s">
        <v>54</v>
      </c>
      <c r="C22" s="11" t="s">
        <v>55</v>
      </c>
      <c r="D22" s="13" t="s">
        <v>50</v>
      </c>
    </row>
    <row r="23" spans="1:4" ht="60" x14ac:dyDescent="0.25">
      <c r="A23" s="10" t="s">
        <v>56</v>
      </c>
      <c r="B23" s="10"/>
      <c r="C23" s="11" t="s">
        <v>57</v>
      </c>
      <c r="D23" s="11"/>
    </row>
    <row r="24" spans="1:4" ht="30" x14ac:dyDescent="0.25">
      <c r="A24" s="10" t="s">
        <v>58</v>
      </c>
      <c r="B24" s="10"/>
      <c r="C24" s="11" t="s">
        <v>59</v>
      </c>
      <c r="D24" s="11"/>
    </row>
    <row r="25" spans="1:4" ht="60" x14ac:dyDescent="0.25">
      <c r="A25" s="10" t="s">
        <v>60</v>
      </c>
      <c r="B25" s="11" t="s">
        <v>61</v>
      </c>
      <c r="C25" s="11" t="s">
        <v>62</v>
      </c>
      <c r="D25" s="12" t="s">
        <v>19</v>
      </c>
    </row>
    <row r="26" spans="1:4" ht="30" x14ac:dyDescent="0.25">
      <c r="A26" s="10" t="s">
        <v>63</v>
      </c>
      <c r="B26" s="11" t="s">
        <v>64</v>
      </c>
      <c r="C26" s="11" t="s">
        <v>65</v>
      </c>
      <c r="D26" s="12" t="s">
        <v>19</v>
      </c>
    </row>
    <row r="27" spans="1:4" ht="30" x14ac:dyDescent="0.25">
      <c r="A27" s="10" t="s">
        <v>66</v>
      </c>
      <c r="B27" s="11" t="s">
        <v>64</v>
      </c>
      <c r="C27" s="11" t="s">
        <v>67</v>
      </c>
      <c r="D27" s="12" t="s">
        <v>19</v>
      </c>
    </row>
    <row r="28" spans="1:4" ht="30" x14ac:dyDescent="0.25">
      <c r="A28" s="10" t="s">
        <v>68</v>
      </c>
      <c r="B28" s="11" t="s">
        <v>64</v>
      </c>
      <c r="C28" s="11" t="s">
        <v>69</v>
      </c>
      <c r="D28" s="12" t="s">
        <v>19</v>
      </c>
    </row>
    <row r="29" spans="1:4" ht="30" x14ac:dyDescent="0.25">
      <c r="A29" s="10" t="s">
        <v>70</v>
      </c>
      <c r="B29" s="11" t="s">
        <v>64</v>
      </c>
      <c r="C29" s="11" t="s">
        <v>71</v>
      </c>
      <c r="D29" s="12" t="s">
        <v>19</v>
      </c>
    </row>
    <row r="30" spans="1:4" ht="30" x14ac:dyDescent="0.25">
      <c r="A30" s="10" t="s">
        <v>107</v>
      </c>
      <c r="B30" s="11" t="s">
        <v>64</v>
      </c>
      <c r="C30" s="11" t="s">
        <v>72</v>
      </c>
      <c r="D30" s="12" t="s">
        <v>19</v>
      </c>
    </row>
    <row r="31" spans="1:4" ht="45" x14ac:dyDescent="0.25">
      <c r="A31" s="10" t="s">
        <v>4025</v>
      </c>
      <c r="B31" s="11"/>
      <c r="C31" s="11" t="s">
        <v>4023</v>
      </c>
      <c r="D31" s="12"/>
    </row>
    <row r="32" spans="1:4" ht="30" x14ac:dyDescent="0.25">
      <c r="A32" s="10" t="s">
        <v>108</v>
      </c>
      <c r="B32" s="11" t="s">
        <v>64</v>
      </c>
      <c r="C32" s="11" t="s">
        <v>73</v>
      </c>
      <c r="D32" s="12" t="s">
        <v>19</v>
      </c>
    </row>
    <row r="33" spans="1:4" ht="51.75" customHeight="1" x14ac:dyDescent="0.25">
      <c r="A33" s="10" t="s">
        <v>4026</v>
      </c>
      <c r="B33" s="11"/>
      <c r="C33" s="11" t="s">
        <v>4024</v>
      </c>
      <c r="D33" s="12"/>
    </row>
    <row r="34" spans="1:4" ht="30" x14ac:dyDescent="0.25">
      <c r="A34" s="10" t="s">
        <v>74</v>
      </c>
      <c r="B34" s="11" t="s">
        <v>64</v>
      </c>
      <c r="C34" s="11" t="s">
        <v>75</v>
      </c>
      <c r="D34" s="12" t="s">
        <v>19</v>
      </c>
    </row>
    <row r="35" spans="1:4" ht="45" x14ac:dyDescent="0.25">
      <c r="A35" s="14" t="s">
        <v>76</v>
      </c>
      <c r="B35" s="14"/>
      <c r="C35" s="15" t="s">
        <v>77</v>
      </c>
      <c r="D35" s="15"/>
    </row>
    <row r="36" spans="1:4" ht="30" x14ac:dyDescent="0.25">
      <c r="A36" s="16" t="s">
        <v>78</v>
      </c>
      <c r="B36" s="11" t="s">
        <v>64</v>
      </c>
      <c r="C36" s="17" t="s">
        <v>79</v>
      </c>
      <c r="D36" s="18" t="s">
        <v>19</v>
      </c>
    </row>
    <row r="37" spans="1:4" ht="30" x14ac:dyDescent="0.25">
      <c r="A37" s="19" t="s">
        <v>80</v>
      </c>
      <c r="B37" s="15" t="s">
        <v>64</v>
      </c>
      <c r="C37" s="20" t="s">
        <v>81</v>
      </c>
      <c r="D37" s="21" t="s">
        <v>19</v>
      </c>
    </row>
    <row r="38" spans="1:4" ht="30" x14ac:dyDescent="0.25">
      <c r="A38" s="16" t="s">
        <v>82</v>
      </c>
      <c r="B38" s="16"/>
      <c r="C38" s="17" t="s">
        <v>83</v>
      </c>
      <c r="D38" s="17"/>
    </row>
    <row r="39" spans="1:4" x14ac:dyDescent="0.25">
      <c r="C39" s="22"/>
      <c r="D39" s="2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AA42-9C05-42BA-BA12-A8A7CD87FA6A}">
  <dimension ref="A1:H51"/>
  <sheetViews>
    <sheetView workbookViewId="0">
      <selection activeCell="A12" sqref="A12"/>
    </sheetView>
  </sheetViews>
  <sheetFormatPr defaultRowHeight="15" x14ac:dyDescent="0.25"/>
  <cols>
    <col min="1" max="1" width="24.28515625" bestFit="1" customWidth="1"/>
    <col min="2" max="2" width="22.85546875" bestFit="1" customWidth="1"/>
    <col min="3" max="3" width="25.28515625" bestFit="1" customWidth="1"/>
    <col min="4" max="4" width="22.7109375" bestFit="1" customWidth="1"/>
    <col min="5" max="5" width="30.5703125" customWidth="1"/>
    <col min="6" max="6" width="21.7109375" bestFit="1" customWidth="1"/>
    <col min="7" max="7" width="16.5703125" bestFit="1" customWidth="1"/>
    <col min="8" max="8" width="32.85546875" bestFit="1" customWidth="1"/>
  </cols>
  <sheetData>
    <row r="1" spans="1:8" ht="15.75" thickBot="1" x14ac:dyDescent="0.3">
      <c r="A1" s="108" t="s">
        <v>7</v>
      </c>
      <c r="B1" s="108" t="s">
        <v>84</v>
      </c>
      <c r="C1" s="108" t="s">
        <v>85</v>
      </c>
      <c r="D1" s="109" t="s">
        <v>86</v>
      </c>
    </row>
    <row r="2" spans="1:8" ht="15.75" thickBot="1" x14ac:dyDescent="0.3">
      <c r="A2" s="55"/>
      <c r="B2" s="56"/>
      <c r="C2" s="56"/>
      <c r="D2" s="57"/>
    </row>
    <row r="4" spans="1:8" ht="15.75" thickBot="1" x14ac:dyDescent="0.3"/>
    <row r="5" spans="1:8" ht="15.75" thickBot="1" x14ac:dyDescent="0.3">
      <c r="A5" s="58" t="s">
        <v>12</v>
      </c>
      <c r="B5" s="59" t="s">
        <v>14</v>
      </c>
      <c r="C5" s="60" t="s">
        <v>87</v>
      </c>
      <c r="D5" s="60" t="s">
        <v>88</v>
      </c>
      <c r="E5" s="59" t="s">
        <v>89</v>
      </c>
      <c r="F5" s="60" t="s">
        <v>90</v>
      </c>
      <c r="G5" s="60" t="s">
        <v>91</v>
      </c>
      <c r="H5" s="61" t="s">
        <v>92</v>
      </c>
    </row>
    <row r="6" spans="1:8" x14ac:dyDescent="0.25">
      <c r="A6" s="62" t="s">
        <v>93</v>
      </c>
      <c r="B6" s="63"/>
      <c r="C6" s="63"/>
      <c r="D6" s="63"/>
      <c r="E6" s="63"/>
      <c r="F6" s="63"/>
      <c r="G6" s="63"/>
      <c r="H6" s="64"/>
    </row>
    <row r="7" spans="1:8" x14ac:dyDescent="0.25">
      <c r="A7" s="65" t="s">
        <v>94</v>
      </c>
      <c r="B7" s="66" t="s">
        <v>95</v>
      </c>
      <c r="C7" s="67">
        <v>43836</v>
      </c>
      <c r="D7" s="67">
        <v>43957</v>
      </c>
      <c r="E7" s="68" t="s">
        <v>96</v>
      </c>
      <c r="F7" s="68">
        <v>20</v>
      </c>
      <c r="G7" s="68">
        <v>4</v>
      </c>
      <c r="H7" s="69"/>
    </row>
    <row r="8" spans="1:8" x14ac:dyDescent="0.25">
      <c r="A8" s="65" t="s">
        <v>94</v>
      </c>
      <c r="B8" s="66" t="s">
        <v>95</v>
      </c>
      <c r="C8" s="67">
        <v>43836</v>
      </c>
      <c r="D8" s="67">
        <v>43957</v>
      </c>
      <c r="E8" s="70" t="s">
        <v>97</v>
      </c>
      <c r="F8" s="68">
        <v>40</v>
      </c>
      <c r="G8" s="68">
        <v>4</v>
      </c>
      <c r="H8" s="69"/>
    </row>
    <row r="9" spans="1:8" x14ac:dyDescent="0.25">
      <c r="A9" s="65" t="s">
        <v>94</v>
      </c>
      <c r="B9" s="66" t="s">
        <v>95</v>
      </c>
      <c r="C9" s="67">
        <v>43836</v>
      </c>
      <c r="D9" s="67">
        <v>43957</v>
      </c>
      <c r="E9" s="68" t="s">
        <v>98</v>
      </c>
      <c r="F9" s="68">
        <v>50</v>
      </c>
      <c r="G9" s="68">
        <v>3</v>
      </c>
      <c r="H9" s="71" t="s">
        <v>99</v>
      </c>
    </row>
    <row r="10" spans="1:8" ht="15.75" thickBot="1" x14ac:dyDescent="0.3">
      <c r="A10" s="72" t="s">
        <v>94</v>
      </c>
      <c r="B10" s="73" t="s">
        <v>95</v>
      </c>
      <c r="C10" s="74">
        <v>43836</v>
      </c>
      <c r="D10" s="74">
        <v>43957</v>
      </c>
      <c r="E10" s="75" t="s">
        <v>100</v>
      </c>
      <c r="F10" s="75">
        <v>20</v>
      </c>
      <c r="G10" s="75">
        <v>4</v>
      </c>
      <c r="H10" s="76"/>
    </row>
    <row r="11" spans="1:8" x14ac:dyDescent="0.25">
      <c r="A11" s="77"/>
      <c r="B11" s="78"/>
      <c r="C11" s="79"/>
      <c r="D11" s="79"/>
      <c r="E11" s="79"/>
      <c r="F11" s="79"/>
      <c r="G11" s="79"/>
      <c r="H11" s="80"/>
    </row>
    <row r="12" spans="1:8" x14ac:dyDescent="0.25">
      <c r="A12" s="81"/>
      <c r="B12" s="10"/>
      <c r="C12" s="10"/>
      <c r="D12" s="10"/>
      <c r="E12" s="10"/>
      <c r="F12" s="10"/>
      <c r="G12" s="10"/>
      <c r="H12" s="82"/>
    </row>
    <row r="13" spans="1:8" x14ac:dyDescent="0.25">
      <c r="A13" s="81"/>
      <c r="B13" s="10"/>
      <c r="C13" s="10"/>
      <c r="D13" s="10"/>
      <c r="E13" s="10"/>
      <c r="F13" s="10"/>
      <c r="G13" s="10"/>
      <c r="H13" s="82"/>
    </row>
    <row r="14" spans="1:8" x14ac:dyDescent="0.25">
      <c r="A14" s="81"/>
      <c r="B14" s="10"/>
      <c r="C14" s="10"/>
      <c r="D14" s="10"/>
      <c r="E14" s="10"/>
      <c r="F14" s="10"/>
      <c r="G14" s="10"/>
      <c r="H14" s="82"/>
    </row>
    <row r="15" spans="1:8" x14ac:dyDescent="0.25">
      <c r="A15" s="81"/>
      <c r="B15" s="10"/>
      <c r="C15" s="10"/>
      <c r="D15" s="10"/>
      <c r="E15" s="10"/>
      <c r="F15" s="10"/>
      <c r="G15" s="10"/>
      <c r="H15" s="82"/>
    </row>
    <row r="16" spans="1:8" x14ac:dyDescent="0.25">
      <c r="A16" s="81"/>
      <c r="B16" s="10"/>
      <c r="C16" s="10"/>
      <c r="D16" s="10"/>
      <c r="E16" s="10"/>
      <c r="F16" s="10"/>
      <c r="G16" s="10"/>
      <c r="H16" s="82"/>
    </row>
    <row r="17" spans="1:8" x14ac:dyDescent="0.25">
      <c r="A17" s="81"/>
      <c r="B17" s="10"/>
      <c r="C17" s="10"/>
      <c r="D17" s="10"/>
      <c r="E17" s="10"/>
      <c r="F17" s="10"/>
      <c r="G17" s="10"/>
      <c r="H17" s="82"/>
    </row>
    <row r="18" spans="1:8" x14ac:dyDescent="0.25">
      <c r="A18" s="81"/>
      <c r="B18" s="10"/>
      <c r="C18" s="10"/>
      <c r="D18" s="10"/>
      <c r="E18" s="10"/>
      <c r="F18" s="10"/>
      <c r="G18" s="10"/>
      <c r="H18" s="82"/>
    </row>
    <row r="19" spans="1:8" x14ac:dyDescent="0.25">
      <c r="A19" s="81"/>
      <c r="B19" s="10"/>
      <c r="C19" s="10"/>
      <c r="D19" s="10"/>
      <c r="E19" s="10"/>
      <c r="F19" s="10"/>
      <c r="G19" s="10"/>
      <c r="H19" s="82"/>
    </row>
    <row r="20" spans="1:8" x14ac:dyDescent="0.25">
      <c r="A20" s="81"/>
      <c r="B20" s="10"/>
      <c r="C20" s="10"/>
      <c r="D20" s="10"/>
      <c r="E20" s="10"/>
      <c r="F20" s="10"/>
      <c r="G20" s="10"/>
      <c r="H20" s="82"/>
    </row>
    <row r="21" spans="1:8" x14ac:dyDescent="0.25">
      <c r="A21" s="81"/>
      <c r="B21" s="10"/>
      <c r="C21" s="10"/>
      <c r="D21" s="10"/>
      <c r="E21" s="10"/>
      <c r="F21" s="10"/>
      <c r="G21" s="10"/>
      <c r="H21" s="82"/>
    </row>
    <row r="22" spans="1:8" x14ac:dyDescent="0.25">
      <c r="A22" s="81"/>
      <c r="B22" s="10"/>
      <c r="C22" s="10"/>
      <c r="D22" s="10"/>
      <c r="E22" s="10"/>
      <c r="F22" s="10"/>
      <c r="G22" s="10"/>
      <c r="H22" s="82"/>
    </row>
    <row r="23" spans="1:8" x14ac:dyDescent="0.25">
      <c r="A23" s="81"/>
      <c r="B23" s="10"/>
      <c r="C23" s="10"/>
      <c r="D23" s="10"/>
      <c r="E23" s="10"/>
      <c r="F23" s="10"/>
      <c r="G23" s="10"/>
      <c r="H23" s="82"/>
    </row>
    <row r="24" spans="1:8" x14ac:dyDescent="0.25">
      <c r="A24" s="81"/>
      <c r="B24" s="10"/>
      <c r="C24" s="10"/>
      <c r="D24" s="10"/>
      <c r="E24" s="10"/>
      <c r="F24" s="10"/>
      <c r="G24" s="10"/>
      <c r="H24" s="82"/>
    </row>
    <row r="25" spans="1:8" x14ac:dyDescent="0.25">
      <c r="A25" s="81"/>
      <c r="B25" s="10"/>
      <c r="C25" s="10"/>
      <c r="D25" s="10"/>
      <c r="E25" s="10"/>
      <c r="F25" s="10"/>
      <c r="G25" s="10"/>
      <c r="H25" s="82"/>
    </row>
    <row r="26" spans="1:8" x14ac:dyDescent="0.25">
      <c r="A26" s="81"/>
      <c r="B26" s="10"/>
      <c r="C26" s="10"/>
      <c r="D26" s="10"/>
      <c r="E26" s="10"/>
      <c r="F26" s="10"/>
      <c r="G26" s="10"/>
      <c r="H26" s="82"/>
    </row>
    <row r="27" spans="1:8" x14ac:dyDescent="0.25">
      <c r="A27" s="81"/>
      <c r="B27" s="10"/>
      <c r="C27" s="10"/>
      <c r="D27" s="10"/>
      <c r="E27" s="10"/>
      <c r="F27" s="10"/>
      <c r="G27" s="10"/>
      <c r="H27" s="82"/>
    </row>
    <row r="28" spans="1:8" x14ac:dyDescent="0.25">
      <c r="A28" s="81"/>
      <c r="B28" s="10"/>
      <c r="C28" s="10"/>
      <c r="D28" s="10"/>
      <c r="E28" s="10"/>
      <c r="F28" s="10"/>
      <c r="G28" s="10"/>
      <c r="H28" s="82"/>
    </row>
    <row r="29" spans="1:8" x14ac:dyDescent="0.25">
      <c r="A29" s="81"/>
      <c r="B29" s="10"/>
      <c r="C29" s="10"/>
      <c r="D29" s="10"/>
      <c r="E29" s="10"/>
      <c r="F29" s="10"/>
      <c r="G29" s="10"/>
      <c r="H29" s="82"/>
    </row>
    <row r="30" spans="1:8" x14ac:dyDescent="0.25">
      <c r="A30" s="81"/>
      <c r="B30" s="10"/>
      <c r="C30" s="10"/>
      <c r="D30" s="10"/>
      <c r="E30" s="10"/>
      <c r="F30" s="10"/>
      <c r="G30" s="10"/>
      <c r="H30" s="82"/>
    </row>
    <row r="31" spans="1:8" x14ac:dyDescent="0.25">
      <c r="A31" s="81"/>
      <c r="B31" s="10"/>
      <c r="C31" s="10"/>
      <c r="D31" s="10"/>
      <c r="E31" s="10"/>
      <c r="F31" s="10"/>
      <c r="G31" s="10"/>
      <c r="H31" s="82"/>
    </row>
    <row r="32" spans="1:8" x14ac:dyDescent="0.25">
      <c r="A32" s="81"/>
      <c r="B32" s="10"/>
      <c r="C32" s="10"/>
      <c r="D32" s="10"/>
      <c r="E32" s="10"/>
      <c r="F32" s="10"/>
      <c r="G32" s="10"/>
      <c r="H32" s="82"/>
    </row>
    <row r="33" spans="1:8" x14ac:dyDescent="0.25">
      <c r="A33" s="81"/>
      <c r="B33" s="10"/>
      <c r="C33" s="10"/>
      <c r="D33" s="10"/>
      <c r="E33" s="10"/>
      <c r="F33" s="10"/>
      <c r="G33" s="10"/>
      <c r="H33" s="82"/>
    </row>
    <row r="34" spans="1:8" x14ac:dyDescent="0.25">
      <c r="A34" s="81"/>
      <c r="B34" s="10"/>
      <c r="C34" s="10"/>
      <c r="D34" s="10"/>
      <c r="E34" s="10"/>
      <c r="F34" s="10"/>
      <c r="G34" s="10"/>
      <c r="H34" s="82"/>
    </row>
    <row r="35" spans="1:8" x14ac:dyDescent="0.25">
      <c r="A35" s="81"/>
      <c r="B35" s="10"/>
      <c r="C35" s="10"/>
      <c r="D35" s="10"/>
      <c r="E35" s="10"/>
      <c r="F35" s="10"/>
      <c r="G35" s="10"/>
      <c r="H35" s="82"/>
    </row>
    <row r="36" spans="1:8" x14ac:dyDescent="0.25">
      <c r="A36" s="81"/>
      <c r="B36" s="10"/>
      <c r="C36" s="10"/>
      <c r="D36" s="10"/>
      <c r="E36" s="10"/>
      <c r="F36" s="10"/>
      <c r="G36" s="10"/>
      <c r="H36" s="82"/>
    </row>
    <row r="37" spans="1:8" x14ac:dyDescent="0.25">
      <c r="A37" s="81"/>
      <c r="B37" s="10"/>
      <c r="C37" s="10"/>
      <c r="D37" s="10"/>
      <c r="E37" s="10"/>
      <c r="F37" s="10"/>
      <c r="G37" s="10"/>
      <c r="H37" s="82"/>
    </row>
    <row r="38" spans="1:8" x14ac:dyDescent="0.25">
      <c r="A38" s="81"/>
      <c r="B38" s="10"/>
      <c r="C38" s="10"/>
      <c r="D38" s="10"/>
      <c r="E38" s="10"/>
      <c r="F38" s="10"/>
      <c r="G38" s="10"/>
      <c r="H38" s="82"/>
    </row>
    <row r="39" spans="1:8" x14ac:dyDescent="0.25">
      <c r="A39" s="81"/>
      <c r="B39" s="10"/>
      <c r="C39" s="10"/>
      <c r="D39" s="10"/>
      <c r="E39" s="10"/>
      <c r="F39" s="10"/>
      <c r="G39" s="10"/>
      <c r="H39" s="82"/>
    </row>
    <row r="40" spans="1:8" x14ac:dyDescent="0.25">
      <c r="A40" s="81"/>
      <c r="B40" s="10"/>
      <c r="C40" s="10"/>
      <c r="D40" s="10"/>
      <c r="E40" s="10"/>
      <c r="F40" s="10"/>
      <c r="G40" s="10"/>
      <c r="H40" s="82"/>
    </row>
    <row r="41" spans="1:8" x14ac:dyDescent="0.25">
      <c r="A41" s="81"/>
      <c r="B41" s="10"/>
      <c r="C41" s="10"/>
      <c r="D41" s="10"/>
      <c r="E41" s="10"/>
      <c r="F41" s="10"/>
      <c r="G41" s="10"/>
      <c r="H41" s="82"/>
    </row>
    <row r="42" spans="1:8" x14ac:dyDescent="0.25">
      <c r="A42" s="81"/>
      <c r="B42" s="10"/>
      <c r="C42" s="10"/>
      <c r="D42" s="10"/>
      <c r="E42" s="10"/>
      <c r="F42" s="10"/>
      <c r="G42" s="10"/>
      <c r="H42" s="82"/>
    </row>
    <row r="43" spans="1:8" x14ac:dyDescent="0.25">
      <c r="A43" s="81"/>
      <c r="B43" s="10"/>
      <c r="C43" s="10"/>
      <c r="D43" s="10"/>
      <c r="E43" s="10"/>
      <c r="F43" s="10"/>
      <c r="G43" s="10"/>
      <c r="H43" s="82"/>
    </row>
    <row r="44" spans="1:8" x14ac:dyDescent="0.25">
      <c r="A44" s="81"/>
      <c r="B44" s="10"/>
      <c r="C44" s="10"/>
      <c r="D44" s="10"/>
      <c r="E44" s="10"/>
      <c r="F44" s="10"/>
      <c r="G44" s="10"/>
      <c r="H44" s="82"/>
    </row>
    <row r="45" spans="1:8" x14ac:dyDescent="0.25">
      <c r="A45" s="81"/>
      <c r="B45" s="10"/>
      <c r="C45" s="10"/>
      <c r="D45" s="10"/>
      <c r="E45" s="10"/>
      <c r="F45" s="10"/>
      <c r="G45" s="10"/>
      <c r="H45" s="82"/>
    </row>
    <row r="46" spans="1:8" x14ac:dyDescent="0.25">
      <c r="A46" s="81"/>
      <c r="B46" s="10"/>
      <c r="C46" s="10"/>
      <c r="D46" s="10"/>
      <c r="E46" s="10"/>
      <c r="F46" s="10"/>
      <c r="G46" s="10"/>
      <c r="H46" s="82"/>
    </row>
    <row r="47" spans="1:8" x14ac:dyDescent="0.25">
      <c r="A47" s="81"/>
      <c r="B47" s="10"/>
      <c r="C47" s="10"/>
      <c r="D47" s="10"/>
      <c r="E47" s="10"/>
      <c r="F47" s="10"/>
      <c r="G47" s="10"/>
      <c r="H47" s="82"/>
    </row>
    <row r="48" spans="1:8" x14ac:dyDescent="0.25">
      <c r="A48" s="81"/>
      <c r="B48" s="10"/>
      <c r="C48" s="10"/>
      <c r="D48" s="10"/>
      <c r="E48" s="10"/>
      <c r="F48" s="10"/>
      <c r="G48" s="10"/>
      <c r="H48" s="82"/>
    </row>
    <row r="49" spans="1:8" x14ac:dyDescent="0.25">
      <c r="A49" s="81"/>
      <c r="B49" s="10"/>
      <c r="C49" s="10"/>
      <c r="D49" s="10"/>
      <c r="E49" s="10"/>
      <c r="F49" s="10"/>
      <c r="G49" s="10"/>
      <c r="H49" s="82"/>
    </row>
    <row r="50" spans="1:8" x14ac:dyDescent="0.25">
      <c r="A50" s="81"/>
      <c r="B50" s="10"/>
      <c r="C50" s="10"/>
      <c r="D50" s="10"/>
      <c r="E50" s="10"/>
      <c r="F50" s="10"/>
      <c r="G50" s="10"/>
      <c r="H50" s="82"/>
    </row>
    <row r="51" spans="1:8" ht="15.75" thickBot="1" x14ac:dyDescent="0.3">
      <c r="A51" s="83"/>
      <c r="B51" s="84"/>
      <c r="C51" s="84"/>
      <c r="D51" s="84"/>
      <c r="E51" s="84"/>
      <c r="F51" s="84"/>
      <c r="G51" s="84"/>
      <c r="H51" s="8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29-C4FC-4219-B4B4-AF022A58A4DB}">
  <dimension ref="A1:AF200"/>
  <sheetViews>
    <sheetView tabSelected="1" workbookViewId="0">
      <selection activeCell="AA23" sqref="AA23"/>
    </sheetView>
  </sheetViews>
  <sheetFormatPr defaultRowHeight="15" x14ac:dyDescent="0.25"/>
  <cols>
    <col min="1" max="1" width="27.5703125" customWidth="1"/>
    <col min="2" max="2" width="14.7109375" customWidth="1"/>
    <col min="3" max="3" width="9.140625" customWidth="1"/>
    <col min="4" max="4" width="13.42578125" customWidth="1"/>
    <col min="5" max="5" width="11.7109375" customWidth="1"/>
    <col min="6" max="6" width="5.85546875" customWidth="1"/>
    <col min="7" max="7" width="8.7109375" bestFit="1" customWidth="1"/>
    <col min="8" max="9" width="10.7109375" bestFit="1" customWidth="1"/>
    <col min="10" max="10" width="19.7109375" bestFit="1" customWidth="1"/>
    <col min="11" max="11" width="17.5703125" customWidth="1"/>
    <col min="12" max="13" width="10.7109375" customWidth="1"/>
    <col min="14" max="14" width="12" customWidth="1"/>
    <col min="16" max="16" width="10.7109375" customWidth="1"/>
    <col min="17" max="17" width="13.7109375" customWidth="1"/>
    <col min="18" max="18" width="8.42578125" customWidth="1"/>
    <col min="19" max="19" width="11.85546875" customWidth="1"/>
    <col min="20" max="23" width="14" customWidth="1"/>
    <col min="24" max="24" width="21" customWidth="1"/>
    <col min="25" max="25" width="14" customWidth="1"/>
    <col min="26" max="26" width="21.42578125" customWidth="1"/>
    <col min="27" max="28" width="14" customWidth="1"/>
    <col min="29" max="29" width="14.42578125" customWidth="1"/>
    <col min="30" max="31" width="21.140625" customWidth="1"/>
    <col min="32" max="32" width="28.5703125" customWidth="1"/>
  </cols>
  <sheetData>
    <row r="1" spans="1:32" ht="30" x14ac:dyDescent="0.25">
      <c r="A1" s="48" t="s">
        <v>12</v>
      </c>
      <c r="B1" s="48" t="s">
        <v>14</v>
      </c>
      <c r="C1" s="48" t="s">
        <v>16</v>
      </c>
      <c r="D1" s="48" t="s">
        <v>20</v>
      </c>
      <c r="E1" s="48" t="s">
        <v>24</v>
      </c>
      <c r="F1" s="48" t="s">
        <v>27</v>
      </c>
      <c r="G1" s="48" t="s">
        <v>31</v>
      </c>
      <c r="H1" s="48" t="s">
        <v>35</v>
      </c>
      <c r="I1" s="49" t="s">
        <v>39</v>
      </c>
      <c r="J1" s="48" t="s">
        <v>43</v>
      </c>
      <c r="K1" s="113" t="s">
        <v>46</v>
      </c>
      <c r="L1" s="113" t="s">
        <v>48</v>
      </c>
      <c r="M1" s="48" t="s">
        <v>51</v>
      </c>
      <c r="N1" s="50" t="s">
        <v>101</v>
      </c>
      <c r="O1" s="50" t="s">
        <v>56</v>
      </c>
      <c r="P1" s="48" t="s">
        <v>58</v>
      </c>
      <c r="Q1" s="113" t="s">
        <v>60</v>
      </c>
      <c r="R1" s="48" t="s">
        <v>102</v>
      </c>
      <c r="S1" s="48" t="s">
        <v>66</v>
      </c>
      <c r="T1" s="48" t="s">
        <v>103</v>
      </c>
      <c r="U1" s="48" t="s">
        <v>104</v>
      </c>
      <c r="V1" s="48" t="s">
        <v>105</v>
      </c>
      <c r="W1" s="48" t="s">
        <v>106</v>
      </c>
      <c r="X1" s="48" t="s">
        <v>107</v>
      </c>
      <c r="Y1" s="48" t="s">
        <v>4025</v>
      </c>
      <c r="Z1" s="48" t="s">
        <v>108</v>
      </c>
      <c r="AA1" s="48" t="s">
        <v>4026</v>
      </c>
      <c r="AB1" s="48" t="s">
        <v>74</v>
      </c>
      <c r="AC1" s="48" t="s">
        <v>76</v>
      </c>
      <c r="AD1" s="113" t="s">
        <v>109</v>
      </c>
      <c r="AE1" s="114" t="s">
        <v>110</v>
      </c>
      <c r="AF1" s="52" t="s">
        <v>82</v>
      </c>
    </row>
    <row r="2" spans="1:32" x14ac:dyDescent="0.25">
      <c r="A2" s="11"/>
      <c r="B2" s="10"/>
      <c r="C2" s="53"/>
      <c r="D2" s="10"/>
      <c r="E2" s="10"/>
      <c r="F2" s="99"/>
      <c r="G2" s="10"/>
      <c r="H2" s="10"/>
      <c r="I2" s="100"/>
      <c r="J2" s="111"/>
      <c r="K2" s="112"/>
      <c r="L2" s="105" t="e">
        <f>VLOOKUP(K2,Species!$A$2:$D$2230,2,FALSE)</f>
        <v>#N/A</v>
      </c>
      <c r="M2" s="105" t="e">
        <f>VLOOKUP(K2,Species!$A$2:$D$2230,3,FALSE)</f>
        <v>#N/A</v>
      </c>
      <c r="N2" s="105" t="e">
        <f>VLOOKUP(K2,Species!$A$2:$D$2230,4,FALSE)</f>
        <v>#N/A</v>
      </c>
      <c r="O2" s="10"/>
      <c r="P2" s="10"/>
      <c r="Q2" s="101"/>
      <c r="R2" s="99"/>
      <c r="S2" s="112"/>
      <c r="T2" s="102"/>
      <c r="U2" s="102"/>
      <c r="V2" s="102"/>
      <c r="W2" s="102"/>
      <c r="X2" s="99"/>
      <c r="Y2" s="99"/>
      <c r="Z2" s="99"/>
      <c r="AA2" s="99"/>
      <c r="AB2" s="99"/>
      <c r="AC2" s="10"/>
      <c r="AD2" s="99"/>
      <c r="AE2" s="103"/>
      <c r="AF2" s="17"/>
    </row>
    <row r="3" spans="1:32" x14ac:dyDescent="0.25">
      <c r="A3" s="54"/>
      <c r="B3" s="54"/>
      <c r="C3" s="53"/>
      <c r="D3" s="54"/>
      <c r="E3" s="54"/>
      <c r="F3" s="99"/>
      <c r="G3" s="54"/>
      <c r="H3" s="54"/>
      <c r="I3" s="100"/>
      <c r="J3" s="54"/>
      <c r="K3" s="99"/>
      <c r="L3" s="105" t="e">
        <f>VLOOKUP(K3,Species!$A$2:$D$2230,2,FALSE)</f>
        <v>#N/A</v>
      </c>
      <c r="M3" s="105" t="e">
        <f>VLOOKUP(K3,Species!$A$2:$D$2230,3,FALSE)</f>
        <v>#N/A</v>
      </c>
      <c r="N3" s="105" t="e">
        <f>VLOOKUP(K3,Species!$A$2:$D$2230,4,FALSE)</f>
        <v>#N/A</v>
      </c>
      <c r="O3" s="54"/>
      <c r="P3" s="54"/>
      <c r="Q3" s="101"/>
      <c r="R3" s="99"/>
      <c r="S3" s="99"/>
      <c r="T3" s="102"/>
      <c r="U3" s="102"/>
      <c r="V3" s="102"/>
      <c r="W3" s="102"/>
      <c r="X3" s="102"/>
      <c r="Y3" s="99"/>
      <c r="Z3" s="99"/>
      <c r="AA3" s="99"/>
      <c r="AB3" s="102"/>
      <c r="AC3" s="54"/>
      <c r="AD3" s="102"/>
      <c r="AE3" s="104"/>
      <c r="AF3" s="16"/>
    </row>
    <row r="4" spans="1:32" x14ac:dyDescent="0.25">
      <c r="A4" s="10"/>
      <c r="B4" s="10"/>
      <c r="C4" s="53"/>
      <c r="D4" s="10"/>
      <c r="E4" s="10"/>
      <c r="F4" s="99"/>
      <c r="G4" s="10"/>
      <c r="H4" s="10"/>
      <c r="I4" s="100"/>
      <c r="J4" s="10"/>
      <c r="K4" s="99"/>
      <c r="L4" s="105" t="e">
        <f>VLOOKUP(K4,Species!$A$2:$D$2230,2,FALSE)</f>
        <v>#N/A</v>
      </c>
      <c r="M4" s="105" t="e">
        <f>VLOOKUP(K4,Species!$A$2:$D$2230,3,FALSE)</f>
        <v>#N/A</v>
      </c>
      <c r="N4" s="105" t="e">
        <f>VLOOKUP(K4,Species!$A$2:$D$2230,4,FALSE)</f>
        <v>#N/A</v>
      </c>
      <c r="O4" s="10"/>
      <c r="P4" s="10"/>
      <c r="Q4" s="101"/>
      <c r="R4" s="99"/>
      <c r="S4" s="99"/>
      <c r="T4" s="102"/>
      <c r="U4" s="102"/>
      <c r="V4" s="102"/>
      <c r="W4" s="102"/>
      <c r="X4" s="99"/>
      <c r="Y4" s="99"/>
      <c r="Z4" s="99"/>
      <c r="AA4" s="99"/>
      <c r="AB4" s="99"/>
      <c r="AC4" s="10"/>
      <c r="AD4" s="99"/>
      <c r="AE4" s="103"/>
      <c r="AF4" s="16"/>
    </row>
    <row r="5" spans="1:32" x14ac:dyDescent="0.25">
      <c r="A5" s="10"/>
      <c r="B5" s="10"/>
      <c r="C5" s="53"/>
      <c r="D5" s="10"/>
      <c r="E5" s="10"/>
      <c r="F5" s="99"/>
      <c r="G5" s="10"/>
      <c r="H5" s="10"/>
      <c r="I5" s="100"/>
      <c r="J5" s="10"/>
      <c r="K5" s="99"/>
      <c r="L5" s="105" t="e">
        <f>VLOOKUP(K5,Species!$A$2:$D$2230,2,FALSE)</f>
        <v>#N/A</v>
      </c>
      <c r="M5" s="105" t="e">
        <f>VLOOKUP(K5,Species!$A$2:$D$2230,3,FALSE)</f>
        <v>#N/A</v>
      </c>
      <c r="N5" s="105" t="e">
        <f>VLOOKUP(K5,Species!$A$2:$D$2230,4,FALSE)</f>
        <v>#N/A</v>
      </c>
      <c r="O5" s="10"/>
      <c r="P5" s="10"/>
      <c r="Q5" s="101"/>
      <c r="R5" s="99"/>
      <c r="S5" s="99"/>
      <c r="T5" s="102"/>
      <c r="U5" s="102"/>
      <c r="V5" s="102"/>
      <c r="W5" s="102"/>
      <c r="X5" s="99"/>
      <c r="Y5" s="99"/>
      <c r="Z5" s="99"/>
      <c r="AA5" s="99"/>
      <c r="AB5" s="99"/>
      <c r="AC5" s="10"/>
      <c r="AD5" s="99"/>
      <c r="AE5" s="103"/>
      <c r="AF5" s="16"/>
    </row>
    <row r="6" spans="1:32" x14ac:dyDescent="0.25">
      <c r="A6" s="10"/>
      <c r="B6" s="10"/>
      <c r="C6" s="53"/>
      <c r="D6" s="10"/>
      <c r="E6" s="10"/>
      <c r="F6" s="99"/>
      <c r="G6" s="10"/>
      <c r="H6" s="10"/>
      <c r="I6" s="100"/>
      <c r="J6" s="10"/>
      <c r="K6" s="99"/>
      <c r="L6" s="105" t="e">
        <f>VLOOKUP(K6,Species!$A$2:$D$2230,2,FALSE)</f>
        <v>#N/A</v>
      </c>
      <c r="M6" s="105" t="e">
        <f>VLOOKUP(K6,Species!$A$2:$D$2230,3,FALSE)</f>
        <v>#N/A</v>
      </c>
      <c r="N6" s="105" t="e">
        <f>VLOOKUP(K6,Species!$A$2:$D$2230,4,FALSE)</f>
        <v>#N/A</v>
      </c>
      <c r="O6" s="10"/>
      <c r="P6" s="10"/>
      <c r="Q6" s="101"/>
      <c r="R6" s="99"/>
      <c r="S6" s="99"/>
      <c r="T6" s="102"/>
      <c r="U6" s="102"/>
      <c r="V6" s="102"/>
      <c r="W6" s="102"/>
      <c r="X6" s="99"/>
      <c r="Y6" s="99"/>
      <c r="Z6" s="99"/>
      <c r="AA6" s="99"/>
      <c r="AB6" s="99"/>
      <c r="AC6" s="10"/>
      <c r="AD6" s="99"/>
      <c r="AE6" s="103"/>
      <c r="AF6" s="16"/>
    </row>
    <row r="7" spans="1:32" x14ac:dyDescent="0.25">
      <c r="A7" s="10"/>
      <c r="B7" s="10"/>
      <c r="C7" s="53"/>
      <c r="D7" s="10"/>
      <c r="E7" s="10"/>
      <c r="F7" s="99"/>
      <c r="G7" s="10"/>
      <c r="H7" s="10"/>
      <c r="I7" s="100"/>
      <c r="J7" s="10"/>
      <c r="K7" s="99"/>
      <c r="L7" s="105" t="e">
        <f>VLOOKUP(K7,Species!$A$2:$D$2230,2,FALSE)</f>
        <v>#N/A</v>
      </c>
      <c r="M7" s="105" t="e">
        <f>VLOOKUP(K7,Species!$A$2:$D$2230,3,FALSE)</f>
        <v>#N/A</v>
      </c>
      <c r="N7" s="105" t="e">
        <f>VLOOKUP(K7,Species!$A$2:$D$2230,4,FALSE)</f>
        <v>#N/A</v>
      </c>
      <c r="O7" s="10"/>
      <c r="P7" s="10"/>
      <c r="Q7" s="101"/>
      <c r="R7" s="99"/>
      <c r="S7" s="99"/>
      <c r="T7" s="102"/>
      <c r="U7" s="102"/>
      <c r="V7" s="102"/>
      <c r="W7" s="102"/>
      <c r="X7" s="99"/>
      <c r="Y7" s="99"/>
      <c r="Z7" s="99"/>
      <c r="AA7" s="99"/>
      <c r="AB7" s="99"/>
      <c r="AC7" s="10"/>
      <c r="AD7" s="99"/>
      <c r="AE7" s="103"/>
      <c r="AF7" s="16"/>
    </row>
    <row r="8" spans="1:32" x14ac:dyDescent="0.25">
      <c r="A8" s="10"/>
      <c r="B8" s="10"/>
      <c r="C8" s="53"/>
      <c r="D8" s="10"/>
      <c r="E8" s="10"/>
      <c r="F8" s="99"/>
      <c r="G8" s="10"/>
      <c r="H8" s="10"/>
      <c r="I8" s="100"/>
      <c r="J8" s="10"/>
      <c r="K8" s="99"/>
      <c r="L8" s="105" t="e">
        <f>VLOOKUP(K8,Species!$A$2:$D$2230,2,FALSE)</f>
        <v>#N/A</v>
      </c>
      <c r="M8" s="105" t="e">
        <f>VLOOKUP(K8,Species!$A$2:$D$2230,3,FALSE)</f>
        <v>#N/A</v>
      </c>
      <c r="N8" s="105" t="e">
        <f>VLOOKUP(K8,Species!$A$2:$D$2230,4,FALSE)</f>
        <v>#N/A</v>
      </c>
      <c r="O8" s="10"/>
      <c r="P8" s="10"/>
      <c r="Q8" s="101"/>
      <c r="R8" s="99"/>
      <c r="S8" s="99"/>
      <c r="T8" s="102"/>
      <c r="U8" s="102"/>
      <c r="V8" s="102"/>
      <c r="W8" s="102"/>
      <c r="X8" s="99"/>
      <c r="Y8" s="99"/>
      <c r="Z8" s="99"/>
      <c r="AA8" s="99"/>
      <c r="AB8" s="99"/>
      <c r="AC8" s="10"/>
      <c r="AD8" s="99"/>
      <c r="AE8" s="103"/>
      <c r="AF8" s="16"/>
    </row>
    <row r="9" spans="1:32" x14ac:dyDescent="0.25">
      <c r="A9" s="10"/>
      <c r="B9" s="10"/>
      <c r="C9" s="53"/>
      <c r="D9" s="10"/>
      <c r="E9" s="10"/>
      <c r="F9" s="99"/>
      <c r="G9" s="10"/>
      <c r="H9" s="10"/>
      <c r="I9" s="100"/>
      <c r="J9" s="10"/>
      <c r="K9" s="99"/>
      <c r="L9" s="105" t="e">
        <f>VLOOKUP(K9,Species!$A$2:$D$2230,2,FALSE)</f>
        <v>#N/A</v>
      </c>
      <c r="M9" s="105" t="e">
        <f>VLOOKUP(K9,Species!$A$2:$D$2230,3,FALSE)</f>
        <v>#N/A</v>
      </c>
      <c r="N9" s="105" t="e">
        <f>VLOOKUP(K9,Species!$A$2:$D$2230,4,FALSE)</f>
        <v>#N/A</v>
      </c>
      <c r="O9" s="10"/>
      <c r="P9" s="10"/>
      <c r="Q9" s="101"/>
      <c r="R9" s="99"/>
      <c r="S9" s="99"/>
      <c r="T9" s="102"/>
      <c r="U9" s="102"/>
      <c r="V9" s="102"/>
      <c r="W9" s="102"/>
      <c r="X9" s="99"/>
      <c r="Y9" s="99"/>
      <c r="Z9" s="99"/>
      <c r="AA9" s="99"/>
      <c r="AB9" s="99"/>
      <c r="AC9" s="10"/>
      <c r="AD9" s="99"/>
      <c r="AE9" s="103"/>
      <c r="AF9" s="16"/>
    </row>
    <row r="10" spans="1:32" x14ac:dyDescent="0.25">
      <c r="A10" s="10"/>
      <c r="B10" s="10"/>
      <c r="C10" s="53"/>
      <c r="D10" s="10"/>
      <c r="E10" s="10"/>
      <c r="F10" s="99"/>
      <c r="G10" s="10"/>
      <c r="H10" s="10"/>
      <c r="I10" s="100"/>
      <c r="J10" s="10"/>
      <c r="K10" s="99"/>
      <c r="L10" s="105" t="e">
        <f>VLOOKUP(K10,Species!$A$2:$D$2230,2,FALSE)</f>
        <v>#N/A</v>
      </c>
      <c r="M10" s="105" t="e">
        <f>VLOOKUP(K10,Species!$A$2:$D$2230,3,FALSE)</f>
        <v>#N/A</v>
      </c>
      <c r="N10" s="105" t="e">
        <f>VLOOKUP(K10,Species!$A$2:$D$2230,4,FALSE)</f>
        <v>#N/A</v>
      </c>
      <c r="O10" s="10"/>
      <c r="P10" s="10"/>
      <c r="Q10" s="101"/>
      <c r="R10" s="99"/>
      <c r="S10" s="99"/>
      <c r="T10" s="102"/>
      <c r="U10" s="102"/>
      <c r="V10" s="102"/>
      <c r="W10" s="102"/>
      <c r="X10" s="99"/>
      <c r="Y10" s="99"/>
      <c r="Z10" s="99"/>
      <c r="AA10" s="99"/>
      <c r="AB10" s="99"/>
      <c r="AC10" s="10"/>
      <c r="AD10" s="99"/>
      <c r="AE10" s="103"/>
      <c r="AF10" s="16"/>
    </row>
    <row r="11" spans="1:32" x14ac:dyDescent="0.25">
      <c r="A11" s="10"/>
      <c r="B11" s="10"/>
      <c r="C11" s="53"/>
      <c r="D11" s="10"/>
      <c r="E11" s="10"/>
      <c r="F11" s="99"/>
      <c r="G11" s="10"/>
      <c r="H11" s="10"/>
      <c r="I11" s="100"/>
      <c r="J11" s="10"/>
      <c r="K11" s="99"/>
      <c r="L11" s="105" t="e">
        <f>VLOOKUP(K11,Species!$A$2:$D$2230,2,FALSE)</f>
        <v>#N/A</v>
      </c>
      <c r="M11" s="105" t="e">
        <f>VLOOKUP(K11,Species!$A$2:$D$2230,3,FALSE)</f>
        <v>#N/A</v>
      </c>
      <c r="N11" s="105" t="e">
        <f>VLOOKUP(K11,Species!$A$2:$D$2230,4,FALSE)</f>
        <v>#N/A</v>
      </c>
      <c r="O11" s="10"/>
      <c r="P11" s="10"/>
      <c r="Q11" s="101"/>
      <c r="R11" s="99"/>
      <c r="S11" s="99"/>
      <c r="T11" s="102"/>
      <c r="U11" s="102"/>
      <c r="V11" s="102"/>
      <c r="W11" s="102"/>
      <c r="X11" s="99"/>
      <c r="Y11" s="99"/>
      <c r="Z11" s="99"/>
      <c r="AA11" s="99"/>
      <c r="AB11" s="99"/>
      <c r="AC11" s="10"/>
      <c r="AD11" s="99"/>
      <c r="AE11" s="103"/>
      <c r="AF11" s="16"/>
    </row>
    <row r="12" spans="1:32" x14ac:dyDescent="0.25">
      <c r="A12" s="54"/>
      <c r="B12" s="54"/>
      <c r="C12" s="53"/>
      <c r="D12" s="54"/>
      <c r="E12" s="54"/>
      <c r="F12" s="99"/>
      <c r="G12" s="54"/>
      <c r="H12" s="54"/>
      <c r="I12" s="100"/>
      <c r="J12" s="54"/>
      <c r="K12" s="99"/>
      <c r="L12" s="105" t="e">
        <f>VLOOKUP(K12,Species!$A$2:$D$2230,2,FALSE)</f>
        <v>#N/A</v>
      </c>
      <c r="M12" s="105" t="e">
        <f>VLOOKUP(K12,Species!$A$2:$D$2230,3,FALSE)</f>
        <v>#N/A</v>
      </c>
      <c r="N12" s="105" t="e">
        <f>VLOOKUP(K12,Species!$A$2:$D$2230,4,FALSE)</f>
        <v>#N/A</v>
      </c>
      <c r="O12" s="54"/>
      <c r="P12" s="54"/>
      <c r="Q12" s="101"/>
      <c r="R12" s="102"/>
      <c r="S12" s="99"/>
      <c r="T12" s="102"/>
      <c r="U12" s="102"/>
      <c r="V12" s="102"/>
      <c r="W12" s="102"/>
      <c r="X12" s="102"/>
      <c r="Y12" s="102"/>
      <c r="Z12" s="102"/>
      <c r="AA12" s="102"/>
      <c r="AB12" s="102"/>
      <c r="AC12" s="54"/>
      <c r="AD12" s="102"/>
      <c r="AE12" s="104"/>
      <c r="AF12" s="16"/>
    </row>
    <row r="13" spans="1:32" x14ac:dyDescent="0.25">
      <c r="A13" s="10"/>
      <c r="B13" s="10"/>
      <c r="C13" s="53"/>
      <c r="D13" s="10"/>
      <c r="E13" s="10"/>
      <c r="F13" s="99"/>
      <c r="G13" s="10"/>
      <c r="H13" s="10"/>
      <c r="I13" s="100"/>
      <c r="J13" s="10"/>
      <c r="K13" s="99"/>
      <c r="L13" s="105" t="e">
        <f>VLOOKUP(K13,Species!$A$2:$D$2230,2,FALSE)</f>
        <v>#N/A</v>
      </c>
      <c r="M13" s="105" t="e">
        <f>VLOOKUP(K13,Species!$A$2:$D$2230,3,FALSE)</f>
        <v>#N/A</v>
      </c>
      <c r="N13" s="105" t="e">
        <f>VLOOKUP(K13,Species!$A$2:$D$2230,4,FALSE)</f>
        <v>#N/A</v>
      </c>
      <c r="O13" s="10"/>
      <c r="P13" s="10"/>
      <c r="Q13" s="101"/>
      <c r="R13" s="99"/>
      <c r="S13" s="99"/>
      <c r="T13" s="102"/>
      <c r="U13" s="102"/>
      <c r="V13" s="102"/>
      <c r="W13" s="102"/>
      <c r="X13" s="99"/>
      <c r="Y13" s="99"/>
      <c r="Z13" s="99"/>
      <c r="AA13" s="99"/>
      <c r="AB13" s="99"/>
      <c r="AC13" s="10"/>
      <c r="AD13" s="99"/>
      <c r="AE13" s="103"/>
      <c r="AF13" s="16"/>
    </row>
    <row r="14" spans="1:32" x14ac:dyDescent="0.25">
      <c r="A14" s="10"/>
      <c r="B14" s="10"/>
      <c r="C14" s="53"/>
      <c r="D14" s="10"/>
      <c r="E14" s="10"/>
      <c r="F14" s="99"/>
      <c r="G14" s="10"/>
      <c r="H14" s="10"/>
      <c r="I14" s="100"/>
      <c r="J14" s="10"/>
      <c r="K14" s="99"/>
      <c r="L14" s="105" t="e">
        <f>VLOOKUP(K14,Species!$A$2:$D$2230,2,FALSE)</f>
        <v>#N/A</v>
      </c>
      <c r="M14" s="105" t="e">
        <f>VLOOKUP(K14,Species!$A$2:$D$2230,3,FALSE)</f>
        <v>#N/A</v>
      </c>
      <c r="N14" s="105" t="e">
        <f>VLOOKUP(K14,Species!$A$2:$D$2230,4,FALSE)</f>
        <v>#N/A</v>
      </c>
      <c r="O14" s="10"/>
      <c r="P14" s="10"/>
      <c r="Q14" s="101"/>
      <c r="R14" s="99"/>
      <c r="S14" s="99"/>
      <c r="T14" s="102"/>
      <c r="U14" s="102"/>
      <c r="V14" s="102"/>
      <c r="W14" s="102"/>
      <c r="X14" s="99"/>
      <c r="Y14" s="99"/>
      <c r="Z14" s="99"/>
      <c r="AA14" s="99"/>
      <c r="AB14" s="99"/>
      <c r="AC14" s="10"/>
      <c r="AD14" s="99"/>
      <c r="AE14" s="103"/>
      <c r="AF14" s="16"/>
    </row>
    <row r="15" spans="1:32" x14ac:dyDescent="0.25">
      <c r="A15" s="10"/>
      <c r="B15" s="10"/>
      <c r="C15" s="53"/>
      <c r="D15" s="10"/>
      <c r="E15" s="10"/>
      <c r="F15" s="99"/>
      <c r="G15" s="10"/>
      <c r="H15" s="10"/>
      <c r="I15" s="100"/>
      <c r="J15" s="10"/>
      <c r="K15" s="99"/>
      <c r="L15" s="105" t="e">
        <f>VLOOKUP(K15,Species!$A$2:$D$2230,2,FALSE)</f>
        <v>#N/A</v>
      </c>
      <c r="M15" s="105" t="e">
        <f>VLOOKUP(K15,Species!$A$2:$D$2230,3,FALSE)</f>
        <v>#N/A</v>
      </c>
      <c r="N15" s="105" t="e">
        <f>VLOOKUP(K15,Species!$A$2:$D$2230,4,FALSE)</f>
        <v>#N/A</v>
      </c>
      <c r="O15" s="10"/>
      <c r="P15" s="10"/>
      <c r="Q15" s="101"/>
      <c r="R15" s="99"/>
      <c r="S15" s="99"/>
      <c r="T15" s="102"/>
      <c r="U15" s="102"/>
      <c r="V15" s="102"/>
      <c r="W15" s="102"/>
      <c r="X15" s="99"/>
      <c r="Y15" s="99"/>
      <c r="Z15" s="99"/>
      <c r="AA15" s="99"/>
      <c r="AB15" s="99"/>
      <c r="AC15" s="10"/>
      <c r="AD15" s="99"/>
      <c r="AE15" s="103"/>
      <c r="AF15" s="16"/>
    </row>
    <row r="16" spans="1:32" x14ac:dyDescent="0.25">
      <c r="A16" s="10"/>
      <c r="B16" s="10"/>
      <c r="C16" s="53"/>
      <c r="D16" s="10"/>
      <c r="E16" s="10"/>
      <c r="F16" s="99"/>
      <c r="G16" s="10"/>
      <c r="H16" s="10"/>
      <c r="I16" s="100"/>
      <c r="J16" s="10"/>
      <c r="K16" s="99"/>
      <c r="L16" s="105" t="e">
        <f>VLOOKUP(K16,Species!$A$2:$D$2230,2,FALSE)</f>
        <v>#N/A</v>
      </c>
      <c r="M16" s="105" t="e">
        <f>VLOOKUP(K16,Species!$A$2:$D$2230,3,FALSE)</f>
        <v>#N/A</v>
      </c>
      <c r="N16" s="105" t="e">
        <f>VLOOKUP(K16,Species!$A$2:$D$2230,4,FALSE)</f>
        <v>#N/A</v>
      </c>
      <c r="O16" s="10"/>
      <c r="P16" s="10"/>
      <c r="Q16" s="101"/>
      <c r="R16" s="99"/>
      <c r="S16" s="99"/>
      <c r="T16" s="102"/>
      <c r="U16" s="102"/>
      <c r="V16" s="102"/>
      <c r="W16" s="102"/>
      <c r="X16" s="99"/>
      <c r="Y16" s="99"/>
      <c r="Z16" s="99"/>
      <c r="AA16" s="99"/>
      <c r="AB16" s="99"/>
      <c r="AC16" s="10"/>
      <c r="AD16" s="99"/>
      <c r="AE16" s="103"/>
      <c r="AF16" s="16"/>
    </row>
    <row r="17" spans="1:32" x14ac:dyDescent="0.25">
      <c r="A17" s="10"/>
      <c r="B17" s="10"/>
      <c r="C17" s="53"/>
      <c r="D17" s="10"/>
      <c r="E17" s="10"/>
      <c r="F17" s="99"/>
      <c r="G17" s="10"/>
      <c r="H17" s="10"/>
      <c r="I17" s="100"/>
      <c r="J17" s="10"/>
      <c r="K17" s="99"/>
      <c r="L17" s="105" t="e">
        <f>VLOOKUP(K17,Species!$A$2:$D$2230,2,FALSE)</f>
        <v>#N/A</v>
      </c>
      <c r="M17" s="105" t="e">
        <f>VLOOKUP(K17,Species!$A$2:$D$2230,3,FALSE)</f>
        <v>#N/A</v>
      </c>
      <c r="N17" s="105" t="e">
        <f>VLOOKUP(K17,Species!$A$2:$D$2230,4,FALSE)</f>
        <v>#N/A</v>
      </c>
      <c r="O17" s="10"/>
      <c r="P17" s="10"/>
      <c r="Q17" s="101"/>
      <c r="R17" s="99"/>
      <c r="S17" s="99"/>
      <c r="T17" s="102"/>
      <c r="U17" s="102"/>
      <c r="V17" s="102"/>
      <c r="W17" s="102"/>
      <c r="X17" s="99"/>
      <c r="Y17" s="99"/>
      <c r="Z17" s="99"/>
      <c r="AA17" s="99"/>
      <c r="AB17" s="99"/>
      <c r="AC17" s="10"/>
      <c r="AD17" s="99"/>
      <c r="AE17" s="103"/>
      <c r="AF17" s="16"/>
    </row>
    <row r="18" spans="1:32" x14ac:dyDescent="0.25">
      <c r="A18" s="10"/>
      <c r="B18" s="10"/>
      <c r="C18" s="53"/>
      <c r="D18" s="10"/>
      <c r="E18" s="10"/>
      <c r="F18" s="99"/>
      <c r="G18" s="10"/>
      <c r="H18" s="10"/>
      <c r="I18" s="100"/>
      <c r="J18" s="10"/>
      <c r="K18" s="99"/>
      <c r="L18" s="105" t="e">
        <f>VLOOKUP(K18,Species!$A$2:$D$2230,2,FALSE)</f>
        <v>#N/A</v>
      </c>
      <c r="M18" s="105" t="e">
        <f>VLOOKUP(K18,Species!$A$2:$D$2230,3,FALSE)</f>
        <v>#N/A</v>
      </c>
      <c r="N18" s="105" t="e">
        <f>VLOOKUP(K18,Species!$A$2:$D$2230,4,FALSE)</f>
        <v>#N/A</v>
      </c>
      <c r="O18" s="10"/>
      <c r="P18" s="10"/>
      <c r="Q18" s="101"/>
      <c r="R18" s="99"/>
      <c r="S18" s="99"/>
      <c r="T18" s="102"/>
      <c r="U18" s="102"/>
      <c r="V18" s="102"/>
      <c r="W18" s="102"/>
      <c r="X18" s="99"/>
      <c r="Y18" s="99"/>
      <c r="Z18" s="99"/>
      <c r="AA18" s="99"/>
      <c r="AB18" s="99"/>
      <c r="AC18" s="10"/>
      <c r="AD18" s="99"/>
      <c r="AE18" s="103"/>
      <c r="AF18" s="16"/>
    </row>
    <row r="19" spans="1:32" x14ac:dyDescent="0.25">
      <c r="A19" s="10"/>
      <c r="B19" s="10"/>
      <c r="C19" s="53"/>
      <c r="D19" s="10"/>
      <c r="E19" s="10"/>
      <c r="F19" s="99"/>
      <c r="G19" s="10"/>
      <c r="H19" s="10"/>
      <c r="I19" s="100"/>
      <c r="J19" s="10"/>
      <c r="K19" s="99"/>
      <c r="L19" s="105" t="e">
        <f>VLOOKUP(K19,Species!$A$2:$D$2230,2,FALSE)</f>
        <v>#N/A</v>
      </c>
      <c r="M19" s="105" t="e">
        <f>VLOOKUP(K19,Species!$A$2:$D$2230,3,FALSE)</f>
        <v>#N/A</v>
      </c>
      <c r="N19" s="105" t="e">
        <f>VLOOKUP(K19,Species!$A$2:$D$2230,4,FALSE)</f>
        <v>#N/A</v>
      </c>
      <c r="O19" s="10"/>
      <c r="P19" s="10"/>
      <c r="Q19" s="101"/>
      <c r="R19" s="99"/>
      <c r="S19" s="99"/>
      <c r="T19" s="102"/>
      <c r="U19" s="102"/>
      <c r="V19" s="102"/>
      <c r="W19" s="102"/>
      <c r="X19" s="99"/>
      <c r="Y19" s="99"/>
      <c r="Z19" s="99"/>
      <c r="AA19" s="99"/>
      <c r="AB19" s="99"/>
      <c r="AC19" s="10"/>
      <c r="AD19" s="99"/>
      <c r="AE19" s="103"/>
      <c r="AF19" s="16"/>
    </row>
    <row r="20" spans="1:32" x14ac:dyDescent="0.25">
      <c r="A20" s="10"/>
      <c r="B20" s="10"/>
      <c r="C20" s="53"/>
      <c r="D20" s="10"/>
      <c r="E20" s="10"/>
      <c r="F20" s="99"/>
      <c r="G20" s="10"/>
      <c r="H20" s="10"/>
      <c r="I20" s="100"/>
      <c r="J20" s="10"/>
      <c r="K20" s="99"/>
      <c r="L20" s="105" t="e">
        <f>VLOOKUP(K20,Species!$A$2:$D$2230,2,FALSE)</f>
        <v>#N/A</v>
      </c>
      <c r="M20" s="105" t="e">
        <f>VLOOKUP(K20,Species!$A$2:$D$2230,3,FALSE)</f>
        <v>#N/A</v>
      </c>
      <c r="N20" s="105" t="e">
        <f>VLOOKUP(K20,Species!$A$2:$D$2230,4,FALSE)</f>
        <v>#N/A</v>
      </c>
      <c r="O20" s="10"/>
      <c r="P20" s="10"/>
      <c r="Q20" s="101"/>
      <c r="R20" s="99"/>
      <c r="S20" s="99"/>
      <c r="T20" s="102"/>
      <c r="U20" s="102"/>
      <c r="V20" s="102"/>
      <c r="W20" s="102"/>
      <c r="X20" s="99"/>
      <c r="Y20" s="99"/>
      <c r="Z20" s="99"/>
      <c r="AA20" s="99"/>
      <c r="AB20" s="99"/>
      <c r="AC20" s="10"/>
      <c r="AD20" s="99"/>
      <c r="AE20" s="103"/>
      <c r="AF20" s="16"/>
    </row>
    <row r="21" spans="1:32" x14ac:dyDescent="0.25">
      <c r="A21" s="54"/>
      <c r="B21" s="54"/>
      <c r="C21" s="53"/>
      <c r="D21" s="54"/>
      <c r="E21" s="54"/>
      <c r="F21" s="99"/>
      <c r="G21" s="54"/>
      <c r="H21" s="54"/>
      <c r="I21" s="100"/>
      <c r="J21" s="54"/>
      <c r="K21" s="99"/>
      <c r="L21" s="105" t="e">
        <f>VLOOKUP(K21,Species!$A$2:$D$2230,2,FALSE)</f>
        <v>#N/A</v>
      </c>
      <c r="M21" s="105" t="e">
        <f>VLOOKUP(K21,Species!$A$2:$D$2230,3,FALSE)</f>
        <v>#N/A</v>
      </c>
      <c r="N21" s="105" t="e">
        <f>VLOOKUP(K21,Species!$A$2:$D$2230,4,FALSE)</f>
        <v>#N/A</v>
      </c>
      <c r="O21" s="54"/>
      <c r="P21" s="54"/>
      <c r="Q21" s="101"/>
      <c r="R21" s="99"/>
      <c r="S21" s="99"/>
      <c r="T21" s="102"/>
      <c r="U21" s="102"/>
      <c r="V21" s="102"/>
      <c r="W21" s="102"/>
      <c r="X21" s="102"/>
      <c r="Y21" s="102"/>
      <c r="Z21" s="102"/>
      <c r="AA21" s="102"/>
      <c r="AB21" s="102"/>
      <c r="AC21" s="54"/>
      <c r="AD21" s="102"/>
      <c r="AE21" s="104"/>
      <c r="AF21" s="16"/>
    </row>
    <row r="22" spans="1:32" x14ac:dyDescent="0.25">
      <c r="A22" s="10"/>
      <c r="B22" s="10"/>
      <c r="C22" s="53"/>
      <c r="D22" s="10"/>
      <c r="E22" s="10"/>
      <c r="F22" s="99"/>
      <c r="G22" s="10"/>
      <c r="H22" s="10"/>
      <c r="I22" s="100"/>
      <c r="J22" s="10"/>
      <c r="K22" s="99"/>
      <c r="L22" s="105" t="e">
        <f>VLOOKUP(K22,Species!$A$2:$D$2230,2,FALSE)</f>
        <v>#N/A</v>
      </c>
      <c r="M22" s="105" t="e">
        <f>VLOOKUP(K22,Species!$A$2:$D$2230,3,FALSE)</f>
        <v>#N/A</v>
      </c>
      <c r="N22" s="105" t="e">
        <f>VLOOKUP(K22,Species!$A$2:$D$2230,4,FALSE)</f>
        <v>#N/A</v>
      </c>
      <c r="O22" s="10"/>
      <c r="P22" s="10"/>
      <c r="Q22" s="101"/>
      <c r="R22" s="99"/>
      <c r="S22" s="99"/>
      <c r="T22" s="102"/>
      <c r="U22" s="102"/>
      <c r="V22" s="102"/>
      <c r="W22" s="102"/>
      <c r="X22" s="99"/>
      <c r="Y22" s="99"/>
      <c r="Z22" s="99"/>
      <c r="AA22" s="99"/>
      <c r="AB22" s="99"/>
      <c r="AC22" s="10"/>
      <c r="AD22" s="99"/>
      <c r="AE22" s="103"/>
      <c r="AF22" s="16"/>
    </row>
    <row r="23" spans="1:32" x14ac:dyDescent="0.25">
      <c r="A23" s="10"/>
      <c r="B23" s="10"/>
      <c r="C23" s="53"/>
      <c r="D23" s="10"/>
      <c r="E23" s="10"/>
      <c r="F23" s="99"/>
      <c r="G23" s="10"/>
      <c r="H23" s="10"/>
      <c r="I23" s="100"/>
      <c r="J23" s="10"/>
      <c r="K23" s="99"/>
      <c r="L23" s="105" t="e">
        <f>VLOOKUP(K23,Species!$A$2:$D$2230,2,FALSE)</f>
        <v>#N/A</v>
      </c>
      <c r="M23" s="105" t="e">
        <f>VLOOKUP(K23,Species!$A$2:$D$2230,3,FALSE)</f>
        <v>#N/A</v>
      </c>
      <c r="N23" s="105" t="e">
        <f>VLOOKUP(K23,Species!$A$2:$D$2230,4,FALSE)</f>
        <v>#N/A</v>
      </c>
      <c r="O23" s="10"/>
      <c r="P23" s="10"/>
      <c r="Q23" s="101"/>
      <c r="R23" s="99"/>
      <c r="S23" s="99"/>
      <c r="T23" s="102"/>
      <c r="U23" s="102"/>
      <c r="V23" s="102"/>
      <c r="W23" s="102"/>
      <c r="X23" s="99"/>
      <c r="Y23" s="99"/>
      <c r="Z23" s="99"/>
      <c r="AA23" s="99"/>
      <c r="AB23" s="99"/>
      <c r="AC23" s="10"/>
      <c r="AD23" s="99"/>
      <c r="AE23" s="103"/>
      <c r="AF23" s="16"/>
    </row>
    <row r="24" spans="1:32" x14ac:dyDescent="0.25">
      <c r="A24" s="10"/>
      <c r="B24" s="10"/>
      <c r="C24" s="53"/>
      <c r="D24" s="10"/>
      <c r="E24" s="10"/>
      <c r="F24" s="99"/>
      <c r="G24" s="10"/>
      <c r="H24" s="10"/>
      <c r="I24" s="100"/>
      <c r="J24" s="10"/>
      <c r="K24" s="99"/>
      <c r="L24" s="105" t="e">
        <f>VLOOKUP(K24,Species!$A$2:$D$2230,2,FALSE)</f>
        <v>#N/A</v>
      </c>
      <c r="M24" s="105" t="e">
        <f>VLOOKUP(K24,Species!$A$2:$D$2230,3,FALSE)</f>
        <v>#N/A</v>
      </c>
      <c r="N24" s="105" t="e">
        <f>VLOOKUP(K24,Species!$A$2:$D$2230,4,FALSE)</f>
        <v>#N/A</v>
      </c>
      <c r="O24" s="10"/>
      <c r="P24" s="10"/>
      <c r="Q24" s="101"/>
      <c r="R24" s="99"/>
      <c r="S24" s="99"/>
      <c r="T24" s="102"/>
      <c r="U24" s="102"/>
      <c r="V24" s="102"/>
      <c r="W24" s="102"/>
      <c r="X24" s="99"/>
      <c r="Y24" s="99"/>
      <c r="Z24" s="99"/>
      <c r="AA24" s="99"/>
      <c r="AB24" s="99"/>
      <c r="AC24" s="10"/>
      <c r="AD24" s="99"/>
      <c r="AE24" s="103"/>
      <c r="AF24" s="16"/>
    </row>
    <row r="25" spans="1:32" x14ac:dyDescent="0.25">
      <c r="A25" s="10"/>
      <c r="B25" s="10"/>
      <c r="C25" s="53"/>
      <c r="D25" s="10"/>
      <c r="E25" s="10"/>
      <c r="F25" s="99"/>
      <c r="G25" s="10"/>
      <c r="H25" s="10"/>
      <c r="I25" s="100"/>
      <c r="J25" s="10"/>
      <c r="K25" s="99"/>
      <c r="L25" s="105" t="e">
        <f>VLOOKUP(K25,Species!$A$2:$D$2230,2,FALSE)</f>
        <v>#N/A</v>
      </c>
      <c r="M25" s="105" t="e">
        <f>VLOOKUP(K25,Species!$A$2:$D$2230,3,FALSE)</f>
        <v>#N/A</v>
      </c>
      <c r="N25" s="105" t="e">
        <f>VLOOKUP(K25,Species!$A$2:$D$2230,4,FALSE)</f>
        <v>#N/A</v>
      </c>
      <c r="O25" s="10"/>
      <c r="P25" s="10"/>
      <c r="Q25" s="101"/>
      <c r="R25" s="99"/>
      <c r="S25" s="99"/>
      <c r="T25" s="102"/>
      <c r="U25" s="102"/>
      <c r="V25" s="102"/>
      <c r="W25" s="102"/>
      <c r="X25" s="99"/>
      <c r="Y25" s="99"/>
      <c r="Z25" s="99"/>
      <c r="AA25" s="99"/>
      <c r="AB25" s="99"/>
      <c r="AC25" s="10"/>
      <c r="AD25" s="99"/>
      <c r="AE25" s="103"/>
      <c r="AF25" s="16"/>
    </row>
    <row r="26" spans="1:32" x14ac:dyDescent="0.25">
      <c r="A26" s="10"/>
      <c r="B26" s="10"/>
      <c r="C26" s="53"/>
      <c r="D26" s="10"/>
      <c r="E26" s="10"/>
      <c r="F26" s="99"/>
      <c r="G26" s="10"/>
      <c r="H26" s="10"/>
      <c r="I26" s="100"/>
      <c r="J26" s="10"/>
      <c r="K26" s="99"/>
      <c r="L26" s="105" t="e">
        <f>VLOOKUP(K26,Species!$A$2:$D$2230,2,FALSE)</f>
        <v>#N/A</v>
      </c>
      <c r="M26" s="105" t="e">
        <f>VLOOKUP(K26,Species!$A$2:$D$2230,3,FALSE)</f>
        <v>#N/A</v>
      </c>
      <c r="N26" s="105" t="e">
        <f>VLOOKUP(K26,Species!$A$2:$D$2230,4,FALSE)</f>
        <v>#N/A</v>
      </c>
      <c r="O26" s="10"/>
      <c r="P26" s="10"/>
      <c r="Q26" s="101"/>
      <c r="R26" s="99"/>
      <c r="S26" s="99"/>
      <c r="T26" s="102"/>
      <c r="U26" s="102"/>
      <c r="V26" s="102"/>
      <c r="W26" s="102"/>
      <c r="X26" s="99"/>
      <c r="Y26" s="99"/>
      <c r="Z26" s="99"/>
      <c r="AA26" s="99"/>
      <c r="AB26" s="99"/>
      <c r="AC26" s="10"/>
      <c r="AD26" s="99"/>
      <c r="AE26" s="103"/>
      <c r="AF26" s="16"/>
    </row>
    <row r="27" spans="1:32" x14ac:dyDescent="0.25">
      <c r="A27" s="10"/>
      <c r="B27" s="10"/>
      <c r="C27" s="53"/>
      <c r="D27" s="10"/>
      <c r="E27" s="10"/>
      <c r="F27" s="99"/>
      <c r="G27" s="10"/>
      <c r="H27" s="10"/>
      <c r="I27" s="100"/>
      <c r="J27" s="10"/>
      <c r="K27" s="99"/>
      <c r="L27" s="105" t="e">
        <f>VLOOKUP(K27,Species!$A$2:$D$2230,2,FALSE)</f>
        <v>#N/A</v>
      </c>
      <c r="M27" s="105" t="e">
        <f>VLOOKUP(K27,Species!$A$2:$D$2230,3,FALSE)</f>
        <v>#N/A</v>
      </c>
      <c r="N27" s="105" t="e">
        <f>VLOOKUP(K27,Species!$A$2:$D$2230,4,FALSE)</f>
        <v>#N/A</v>
      </c>
      <c r="O27" s="10"/>
      <c r="P27" s="10"/>
      <c r="Q27" s="101"/>
      <c r="R27" s="99"/>
      <c r="S27" s="99"/>
      <c r="T27" s="102"/>
      <c r="U27" s="102"/>
      <c r="V27" s="102"/>
      <c r="W27" s="102"/>
      <c r="X27" s="99"/>
      <c r="Y27" s="99"/>
      <c r="Z27" s="99"/>
      <c r="AA27" s="99"/>
      <c r="AB27" s="99"/>
      <c r="AC27" s="10"/>
      <c r="AD27" s="99"/>
      <c r="AE27" s="103"/>
      <c r="AF27" s="16"/>
    </row>
    <row r="28" spans="1:32" x14ac:dyDescent="0.25">
      <c r="A28" s="10"/>
      <c r="B28" s="10"/>
      <c r="C28" s="53"/>
      <c r="D28" s="10"/>
      <c r="E28" s="10"/>
      <c r="F28" s="99"/>
      <c r="G28" s="10"/>
      <c r="H28" s="10"/>
      <c r="I28" s="100"/>
      <c r="J28" s="10"/>
      <c r="K28" s="99"/>
      <c r="L28" s="105" t="e">
        <f>VLOOKUP(K28,Species!$A$2:$D$2230,2,FALSE)</f>
        <v>#N/A</v>
      </c>
      <c r="M28" s="105" t="e">
        <f>VLOOKUP(K28,Species!$A$2:$D$2230,3,FALSE)</f>
        <v>#N/A</v>
      </c>
      <c r="N28" s="105" t="e">
        <f>VLOOKUP(K28,Species!$A$2:$D$2230,4,FALSE)</f>
        <v>#N/A</v>
      </c>
      <c r="O28" s="10"/>
      <c r="P28" s="10"/>
      <c r="Q28" s="101"/>
      <c r="R28" s="99"/>
      <c r="S28" s="99"/>
      <c r="T28" s="102"/>
      <c r="U28" s="102"/>
      <c r="V28" s="102"/>
      <c r="W28" s="102"/>
      <c r="X28" s="99"/>
      <c r="Y28" s="99"/>
      <c r="Z28" s="99"/>
      <c r="AA28" s="99"/>
      <c r="AB28" s="99"/>
      <c r="AC28" s="10"/>
      <c r="AD28" s="99"/>
      <c r="AE28" s="103"/>
      <c r="AF28" s="16"/>
    </row>
    <row r="29" spans="1:32" x14ac:dyDescent="0.25">
      <c r="A29" s="10"/>
      <c r="B29" s="10"/>
      <c r="C29" s="53"/>
      <c r="D29" s="10"/>
      <c r="E29" s="10"/>
      <c r="F29" s="99"/>
      <c r="G29" s="10"/>
      <c r="H29" s="10"/>
      <c r="I29" s="100"/>
      <c r="J29" s="10"/>
      <c r="K29" s="99"/>
      <c r="L29" s="105" t="e">
        <f>VLOOKUP(K29,Species!$A$2:$D$2230,2,FALSE)</f>
        <v>#N/A</v>
      </c>
      <c r="M29" s="105" t="e">
        <f>VLOOKUP(K29,Species!$A$2:$D$2230,3,FALSE)</f>
        <v>#N/A</v>
      </c>
      <c r="N29" s="105" t="e">
        <f>VLOOKUP(K29,Species!$A$2:$D$2230,4,FALSE)</f>
        <v>#N/A</v>
      </c>
      <c r="O29" s="10"/>
      <c r="P29" s="10"/>
      <c r="Q29" s="101"/>
      <c r="R29" s="99"/>
      <c r="S29" s="99"/>
      <c r="T29" s="102"/>
      <c r="U29" s="102"/>
      <c r="V29" s="102"/>
      <c r="W29" s="102"/>
      <c r="X29" s="99"/>
      <c r="Y29" s="99"/>
      <c r="Z29" s="99"/>
      <c r="AA29" s="99"/>
      <c r="AB29" s="99"/>
      <c r="AC29" s="10"/>
      <c r="AD29" s="99"/>
      <c r="AE29" s="103"/>
      <c r="AF29" s="16"/>
    </row>
    <row r="30" spans="1:32" x14ac:dyDescent="0.25">
      <c r="A30" s="54"/>
      <c r="B30" s="54"/>
      <c r="C30" s="53"/>
      <c r="D30" s="54"/>
      <c r="E30" s="54"/>
      <c r="F30" s="99"/>
      <c r="G30" s="54"/>
      <c r="H30" s="54"/>
      <c r="I30" s="100"/>
      <c r="J30" s="54"/>
      <c r="K30" s="99"/>
      <c r="L30" s="105" t="e">
        <f>VLOOKUP(K30,Species!$A$2:$D$2230,2,FALSE)</f>
        <v>#N/A</v>
      </c>
      <c r="M30" s="105" t="e">
        <f>VLOOKUP(K30,Species!$A$2:$D$2230,3,FALSE)</f>
        <v>#N/A</v>
      </c>
      <c r="N30" s="105" t="e">
        <f>VLOOKUP(K30,Species!$A$2:$D$2230,4,FALSE)</f>
        <v>#N/A</v>
      </c>
      <c r="O30" s="54"/>
      <c r="P30" s="54"/>
      <c r="Q30" s="101"/>
      <c r="R30" s="99"/>
      <c r="S30" s="99"/>
      <c r="T30" s="102"/>
      <c r="U30" s="102"/>
      <c r="V30" s="102"/>
      <c r="W30" s="102"/>
      <c r="X30" s="102"/>
      <c r="Y30" s="102"/>
      <c r="Z30" s="102"/>
      <c r="AA30" s="102"/>
      <c r="AB30" s="102"/>
      <c r="AC30" s="54"/>
      <c r="AD30" s="102"/>
      <c r="AE30" s="104"/>
      <c r="AF30" s="16"/>
    </row>
    <row r="31" spans="1:32" x14ac:dyDescent="0.25">
      <c r="A31" s="10"/>
      <c r="B31" s="10"/>
      <c r="C31" s="53"/>
      <c r="D31" s="10"/>
      <c r="E31" s="10"/>
      <c r="F31" s="99"/>
      <c r="G31" s="10"/>
      <c r="H31" s="10"/>
      <c r="I31" s="100"/>
      <c r="J31" s="10"/>
      <c r="K31" s="99"/>
      <c r="L31" s="105" t="e">
        <f>VLOOKUP(K31,Species!$A$2:$D$2230,2,FALSE)</f>
        <v>#N/A</v>
      </c>
      <c r="M31" s="105" t="e">
        <f>VLOOKUP(K31,Species!$A$2:$D$2230,3,FALSE)</f>
        <v>#N/A</v>
      </c>
      <c r="N31" s="105" t="e">
        <f>VLOOKUP(K31,Species!$A$2:$D$2230,4,FALSE)</f>
        <v>#N/A</v>
      </c>
      <c r="O31" s="10"/>
      <c r="P31" s="10"/>
      <c r="Q31" s="101"/>
      <c r="R31" s="99"/>
      <c r="S31" s="99"/>
      <c r="T31" s="102"/>
      <c r="U31" s="102"/>
      <c r="V31" s="102"/>
      <c r="W31" s="102"/>
      <c r="X31" s="99"/>
      <c r="Y31" s="99"/>
      <c r="Z31" s="99"/>
      <c r="AA31" s="99"/>
      <c r="AB31" s="99"/>
      <c r="AC31" s="10"/>
      <c r="AD31" s="99"/>
      <c r="AE31" s="103"/>
      <c r="AF31" s="16"/>
    </row>
    <row r="32" spans="1:32" x14ac:dyDescent="0.25">
      <c r="A32" s="10"/>
      <c r="B32" s="10"/>
      <c r="C32" s="53"/>
      <c r="D32" s="10"/>
      <c r="E32" s="10"/>
      <c r="F32" s="99"/>
      <c r="G32" s="10"/>
      <c r="H32" s="10"/>
      <c r="I32" s="100"/>
      <c r="J32" s="10"/>
      <c r="K32" s="99"/>
      <c r="L32" s="105" t="e">
        <f>VLOOKUP(K32,Species!$A$2:$D$2230,2,FALSE)</f>
        <v>#N/A</v>
      </c>
      <c r="M32" s="105" t="e">
        <f>VLOOKUP(K32,Species!$A$2:$D$2230,3,FALSE)</f>
        <v>#N/A</v>
      </c>
      <c r="N32" s="105" t="e">
        <f>VLOOKUP(K32,Species!$A$2:$D$2230,4,FALSE)</f>
        <v>#N/A</v>
      </c>
      <c r="O32" s="10"/>
      <c r="P32" s="10"/>
      <c r="Q32" s="101"/>
      <c r="R32" s="99"/>
      <c r="S32" s="99"/>
      <c r="T32" s="102"/>
      <c r="U32" s="102"/>
      <c r="V32" s="102"/>
      <c r="W32" s="102"/>
      <c r="X32" s="99"/>
      <c r="Y32" s="99"/>
      <c r="Z32" s="99"/>
      <c r="AA32" s="99"/>
      <c r="AB32" s="99"/>
      <c r="AC32" s="10"/>
      <c r="AD32" s="99"/>
      <c r="AE32" s="103"/>
      <c r="AF32" s="16"/>
    </row>
    <row r="33" spans="1:32" x14ac:dyDescent="0.25">
      <c r="A33" s="10"/>
      <c r="B33" s="10"/>
      <c r="C33" s="53"/>
      <c r="D33" s="10"/>
      <c r="E33" s="10"/>
      <c r="F33" s="99"/>
      <c r="G33" s="10"/>
      <c r="H33" s="10"/>
      <c r="I33" s="100"/>
      <c r="J33" s="10"/>
      <c r="K33" s="99"/>
      <c r="L33" s="105" t="e">
        <f>VLOOKUP(K33,Species!$A$2:$D$2230,2,FALSE)</f>
        <v>#N/A</v>
      </c>
      <c r="M33" s="105" t="e">
        <f>VLOOKUP(K33,Species!$A$2:$D$2230,3,FALSE)</f>
        <v>#N/A</v>
      </c>
      <c r="N33" s="105" t="e">
        <f>VLOOKUP(K33,Species!$A$2:$D$2230,4,FALSE)</f>
        <v>#N/A</v>
      </c>
      <c r="O33" s="10"/>
      <c r="P33" s="10"/>
      <c r="Q33" s="101"/>
      <c r="R33" s="99"/>
      <c r="S33" s="99"/>
      <c r="T33" s="102"/>
      <c r="U33" s="102"/>
      <c r="V33" s="102"/>
      <c r="W33" s="102"/>
      <c r="X33" s="99"/>
      <c r="Y33" s="99"/>
      <c r="Z33" s="99"/>
      <c r="AA33" s="99"/>
      <c r="AB33" s="99"/>
      <c r="AC33" s="10"/>
      <c r="AD33" s="99"/>
      <c r="AE33" s="103"/>
      <c r="AF33" s="16"/>
    </row>
    <row r="34" spans="1:32" x14ac:dyDescent="0.25">
      <c r="A34" s="10"/>
      <c r="B34" s="10"/>
      <c r="C34" s="53"/>
      <c r="D34" s="10"/>
      <c r="E34" s="10"/>
      <c r="F34" s="99"/>
      <c r="G34" s="10"/>
      <c r="H34" s="10"/>
      <c r="I34" s="100"/>
      <c r="J34" s="10"/>
      <c r="K34" s="99"/>
      <c r="L34" s="105" t="e">
        <f>VLOOKUP(K34,Species!$A$2:$D$2230,2,FALSE)</f>
        <v>#N/A</v>
      </c>
      <c r="M34" s="105" t="e">
        <f>VLOOKUP(K34,Species!$A$2:$D$2230,3,FALSE)</f>
        <v>#N/A</v>
      </c>
      <c r="N34" s="105" t="e">
        <f>VLOOKUP(K34,Species!$A$2:$D$2230,4,FALSE)</f>
        <v>#N/A</v>
      </c>
      <c r="O34" s="10"/>
      <c r="P34" s="10"/>
      <c r="Q34" s="101"/>
      <c r="R34" s="99"/>
      <c r="S34" s="99"/>
      <c r="T34" s="102"/>
      <c r="U34" s="102"/>
      <c r="V34" s="102"/>
      <c r="W34" s="102"/>
      <c r="X34" s="99"/>
      <c r="Y34" s="99"/>
      <c r="Z34" s="99"/>
      <c r="AA34" s="99"/>
      <c r="AB34" s="99"/>
      <c r="AC34" s="10"/>
      <c r="AD34" s="99"/>
      <c r="AE34" s="103"/>
      <c r="AF34" s="16"/>
    </row>
    <row r="35" spans="1:32" x14ac:dyDescent="0.25">
      <c r="A35" s="10"/>
      <c r="B35" s="10"/>
      <c r="C35" s="53"/>
      <c r="D35" s="10"/>
      <c r="E35" s="10"/>
      <c r="F35" s="99"/>
      <c r="G35" s="10"/>
      <c r="H35" s="10"/>
      <c r="I35" s="100"/>
      <c r="J35" s="10"/>
      <c r="K35" s="99"/>
      <c r="L35" s="105" t="e">
        <f>VLOOKUP(K35,Species!$A$2:$D$2230,2,FALSE)</f>
        <v>#N/A</v>
      </c>
      <c r="M35" s="105" t="e">
        <f>VLOOKUP(K35,Species!$A$2:$D$2230,3,FALSE)</f>
        <v>#N/A</v>
      </c>
      <c r="N35" s="105" t="e">
        <f>VLOOKUP(K35,Species!$A$2:$D$2230,4,FALSE)</f>
        <v>#N/A</v>
      </c>
      <c r="O35" s="10"/>
      <c r="P35" s="10"/>
      <c r="Q35" s="101"/>
      <c r="R35" s="99"/>
      <c r="S35" s="99"/>
      <c r="T35" s="102"/>
      <c r="U35" s="102"/>
      <c r="V35" s="102"/>
      <c r="W35" s="102"/>
      <c r="X35" s="99"/>
      <c r="Y35" s="99"/>
      <c r="Z35" s="99"/>
      <c r="AA35" s="99"/>
      <c r="AB35" s="99"/>
      <c r="AC35" s="10"/>
      <c r="AD35" s="99"/>
      <c r="AE35" s="103"/>
      <c r="AF35" s="16"/>
    </row>
    <row r="36" spans="1:32" x14ac:dyDescent="0.25">
      <c r="A36" s="10"/>
      <c r="B36" s="10"/>
      <c r="C36" s="53"/>
      <c r="E36" s="10"/>
      <c r="F36" s="99"/>
      <c r="G36" s="10"/>
      <c r="H36" s="10"/>
      <c r="I36" s="100"/>
      <c r="J36" s="10"/>
      <c r="K36" s="99"/>
      <c r="L36" s="105" t="e">
        <f>VLOOKUP(K36,Species!$A$2:$D$2230,2,FALSE)</f>
        <v>#N/A</v>
      </c>
      <c r="M36" s="105" t="e">
        <f>VLOOKUP(K36,Species!$A$2:$D$2230,3,FALSE)</f>
        <v>#N/A</v>
      </c>
      <c r="N36" s="105" t="e">
        <f>VLOOKUP(K36,Species!$A$2:$D$2230,4,FALSE)</f>
        <v>#N/A</v>
      </c>
      <c r="O36" s="10"/>
      <c r="P36" s="10"/>
      <c r="Q36" s="101"/>
      <c r="R36" s="99"/>
      <c r="S36" s="99"/>
      <c r="T36" s="102"/>
      <c r="U36" s="102"/>
      <c r="V36" s="102"/>
      <c r="W36" s="102"/>
      <c r="X36" s="99"/>
      <c r="Y36" s="99"/>
      <c r="Z36" s="99"/>
      <c r="AA36" s="99"/>
      <c r="AB36" s="99"/>
      <c r="AC36" s="10"/>
      <c r="AD36" s="99"/>
      <c r="AE36" s="103"/>
      <c r="AF36" s="16"/>
    </row>
    <row r="37" spans="1:32" x14ac:dyDescent="0.25">
      <c r="A37" s="10"/>
      <c r="B37" s="10"/>
      <c r="C37" s="53"/>
      <c r="D37" s="10"/>
      <c r="E37" s="10"/>
      <c r="F37" s="99"/>
      <c r="G37" s="10"/>
      <c r="H37" s="10"/>
      <c r="I37" s="100"/>
      <c r="J37" s="10"/>
      <c r="K37" s="99"/>
      <c r="L37" s="105" t="e">
        <f>VLOOKUP(K37,Species!$A$2:$D$2230,2,FALSE)</f>
        <v>#N/A</v>
      </c>
      <c r="M37" s="105" t="e">
        <f>VLOOKUP(K37,Species!$A$2:$D$2230,3,FALSE)</f>
        <v>#N/A</v>
      </c>
      <c r="N37" s="105" t="e">
        <f>VLOOKUP(K37,Species!$A$2:$D$2230,4,FALSE)</f>
        <v>#N/A</v>
      </c>
      <c r="O37" s="10"/>
      <c r="P37" s="10"/>
      <c r="Q37" s="101"/>
      <c r="R37" s="99"/>
      <c r="S37" s="99"/>
      <c r="T37" s="102"/>
      <c r="U37" s="102"/>
      <c r="V37" s="102"/>
      <c r="W37" s="102"/>
      <c r="X37" s="99"/>
      <c r="Y37" s="99"/>
      <c r="Z37" s="99"/>
      <c r="AA37" s="99"/>
      <c r="AB37" s="99"/>
      <c r="AC37" s="10"/>
      <c r="AD37" s="99"/>
      <c r="AE37" s="103"/>
      <c r="AF37" s="16"/>
    </row>
    <row r="38" spans="1:32" x14ac:dyDescent="0.25">
      <c r="A38" s="10"/>
      <c r="B38" s="10"/>
      <c r="C38" s="53"/>
      <c r="D38" s="10"/>
      <c r="E38" s="10"/>
      <c r="F38" s="99"/>
      <c r="G38" s="10"/>
      <c r="H38" s="10"/>
      <c r="I38" s="100"/>
      <c r="J38" s="10"/>
      <c r="K38" s="99"/>
      <c r="L38" s="105" t="e">
        <f>VLOOKUP(K38,Species!$A$2:$D$2230,2,FALSE)</f>
        <v>#N/A</v>
      </c>
      <c r="M38" s="105" t="e">
        <f>VLOOKUP(K38,Species!$A$2:$D$2230,3,FALSE)</f>
        <v>#N/A</v>
      </c>
      <c r="N38" s="105" t="e">
        <f>VLOOKUP(K38,Species!$A$2:$D$2230,4,FALSE)</f>
        <v>#N/A</v>
      </c>
      <c r="O38" s="10"/>
      <c r="P38" s="10"/>
      <c r="Q38" s="101"/>
      <c r="R38" s="99"/>
      <c r="S38" s="99"/>
      <c r="T38" s="102"/>
      <c r="U38" s="102"/>
      <c r="V38" s="102"/>
      <c r="W38" s="102"/>
      <c r="X38" s="99"/>
      <c r="Y38" s="99"/>
      <c r="Z38" s="99"/>
      <c r="AA38" s="99"/>
      <c r="AB38" s="99"/>
      <c r="AC38" s="10"/>
      <c r="AD38" s="99"/>
      <c r="AE38" s="103"/>
      <c r="AF38" s="16"/>
    </row>
    <row r="39" spans="1:32" x14ac:dyDescent="0.25">
      <c r="A39" s="54"/>
      <c r="B39" s="54"/>
      <c r="C39" s="53"/>
      <c r="D39" s="54"/>
      <c r="E39" s="54"/>
      <c r="F39" s="99"/>
      <c r="G39" s="54"/>
      <c r="H39" s="54"/>
      <c r="I39" s="100"/>
      <c r="J39" s="54"/>
      <c r="K39" s="99"/>
      <c r="L39" s="105" t="e">
        <f>VLOOKUP(K39,Species!$A$2:$D$2230,2,FALSE)</f>
        <v>#N/A</v>
      </c>
      <c r="M39" s="105" t="e">
        <f>VLOOKUP(K39,Species!$A$2:$D$2230,3,FALSE)</f>
        <v>#N/A</v>
      </c>
      <c r="N39" s="105" t="e">
        <f>VLOOKUP(K39,Species!$A$2:$D$2230,4,FALSE)</f>
        <v>#N/A</v>
      </c>
      <c r="O39" s="54"/>
      <c r="P39" s="54"/>
      <c r="Q39" s="101"/>
      <c r="R39" s="99"/>
      <c r="S39" s="99"/>
      <c r="T39" s="102"/>
      <c r="U39" s="102"/>
      <c r="V39" s="102"/>
      <c r="W39" s="102"/>
      <c r="X39" s="102"/>
      <c r="Y39" s="102"/>
      <c r="Z39" s="102"/>
      <c r="AA39" s="102"/>
      <c r="AB39" s="102"/>
      <c r="AC39" s="54"/>
      <c r="AD39" s="102"/>
      <c r="AE39" s="104"/>
      <c r="AF39" s="16"/>
    </row>
    <row r="40" spans="1:32" x14ac:dyDescent="0.25">
      <c r="A40" s="10"/>
      <c r="B40" s="10"/>
      <c r="C40" s="53"/>
      <c r="D40" s="10"/>
      <c r="E40" s="10"/>
      <c r="F40" s="99"/>
      <c r="G40" s="10"/>
      <c r="H40" s="10"/>
      <c r="I40" s="100"/>
      <c r="J40" s="10"/>
      <c r="K40" s="99"/>
      <c r="L40" s="105" t="e">
        <f>VLOOKUP(K40,Species!$A$2:$D$2230,2,FALSE)</f>
        <v>#N/A</v>
      </c>
      <c r="M40" s="105" t="e">
        <f>VLOOKUP(K40,Species!$A$2:$D$2230,3,FALSE)</f>
        <v>#N/A</v>
      </c>
      <c r="N40" s="105" t="e">
        <f>VLOOKUP(K40,Species!$A$2:$D$2230,4,FALSE)</f>
        <v>#N/A</v>
      </c>
      <c r="O40" s="10"/>
      <c r="P40" s="10"/>
      <c r="Q40" s="101"/>
      <c r="R40" s="99"/>
      <c r="S40" s="99"/>
      <c r="T40" s="102"/>
      <c r="U40" s="102"/>
      <c r="V40" s="102"/>
      <c r="W40" s="102"/>
      <c r="X40" s="99"/>
      <c r="Y40" s="99"/>
      <c r="Z40" s="99"/>
      <c r="AA40" s="99"/>
      <c r="AB40" s="99"/>
      <c r="AC40" s="10"/>
      <c r="AD40" s="99"/>
      <c r="AE40" s="103"/>
      <c r="AF40" s="16"/>
    </row>
    <row r="41" spans="1:32" x14ac:dyDescent="0.25">
      <c r="A41" s="10"/>
      <c r="B41" s="10"/>
      <c r="C41" s="53"/>
      <c r="D41" s="10"/>
      <c r="E41" s="10"/>
      <c r="F41" s="99"/>
      <c r="G41" s="10"/>
      <c r="H41" s="10"/>
      <c r="I41" s="100"/>
      <c r="J41" s="10"/>
      <c r="K41" s="99"/>
      <c r="L41" s="105" t="e">
        <f>VLOOKUP(K41,Species!$A$2:$D$2230,2,FALSE)</f>
        <v>#N/A</v>
      </c>
      <c r="M41" s="105" t="e">
        <f>VLOOKUP(K41,Species!$A$2:$D$2230,3,FALSE)</f>
        <v>#N/A</v>
      </c>
      <c r="N41" s="105" t="e">
        <f>VLOOKUP(K41,Species!$A$2:$D$2230,4,FALSE)</f>
        <v>#N/A</v>
      </c>
      <c r="O41" s="10"/>
      <c r="P41" s="10"/>
      <c r="Q41" s="101"/>
      <c r="R41" s="99"/>
      <c r="S41" s="99"/>
      <c r="T41" s="102"/>
      <c r="U41" s="102"/>
      <c r="V41" s="102"/>
      <c r="W41" s="102"/>
      <c r="X41" s="99"/>
      <c r="Y41" s="99"/>
      <c r="Z41" s="99"/>
      <c r="AA41" s="99"/>
      <c r="AB41" s="99"/>
      <c r="AC41" s="10"/>
      <c r="AD41" s="99"/>
      <c r="AE41" s="103"/>
      <c r="AF41" s="16"/>
    </row>
    <row r="42" spans="1:32" x14ac:dyDescent="0.25">
      <c r="A42" s="10"/>
      <c r="B42" s="10"/>
      <c r="C42" s="53"/>
      <c r="D42" s="10"/>
      <c r="E42" s="10"/>
      <c r="F42" s="99"/>
      <c r="G42" s="10"/>
      <c r="H42" s="10"/>
      <c r="I42" s="100"/>
      <c r="J42" s="10"/>
      <c r="K42" s="99"/>
      <c r="L42" s="105" t="e">
        <f>VLOOKUP(K42,Species!$A$2:$D$2230,2,FALSE)</f>
        <v>#N/A</v>
      </c>
      <c r="M42" s="105" t="e">
        <f>VLOOKUP(K42,Species!$A$2:$D$2230,3,FALSE)</f>
        <v>#N/A</v>
      </c>
      <c r="N42" s="105" t="e">
        <f>VLOOKUP(K42,Species!$A$2:$D$2230,4,FALSE)</f>
        <v>#N/A</v>
      </c>
      <c r="O42" s="10"/>
      <c r="P42" s="10"/>
      <c r="Q42" s="101"/>
      <c r="R42" s="99"/>
      <c r="S42" s="99"/>
      <c r="T42" s="102"/>
      <c r="U42" s="102"/>
      <c r="V42" s="102"/>
      <c r="W42" s="102"/>
      <c r="X42" s="99"/>
      <c r="Y42" s="99"/>
      <c r="Z42" s="99"/>
      <c r="AA42" s="99"/>
      <c r="AB42" s="99"/>
      <c r="AC42" s="10"/>
      <c r="AD42" s="99"/>
      <c r="AE42" s="103"/>
      <c r="AF42" s="16"/>
    </row>
    <row r="43" spans="1:32" x14ac:dyDescent="0.25">
      <c r="A43" s="10"/>
      <c r="B43" s="10"/>
      <c r="C43" s="53"/>
      <c r="D43" s="10"/>
      <c r="E43" s="10"/>
      <c r="F43" s="99"/>
      <c r="G43" s="10"/>
      <c r="H43" s="10"/>
      <c r="I43" s="100"/>
      <c r="J43" s="10"/>
      <c r="K43" s="99"/>
      <c r="L43" s="105" t="e">
        <f>VLOOKUP(K43,Species!$A$2:$D$2230,2,FALSE)</f>
        <v>#N/A</v>
      </c>
      <c r="M43" s="105" t="e">
        <f>VLOOKUP(K43,Species!$A$2:$D$2230,3,FALSE)</f>
        <v>#N/A</v>
      </c>
      <c r="N43" s="105" t="e">
        <f>VLOOKUP(K43,Species!$A$2:$D$2230,4,FALSE)</f>
        <v>#N/A</v>
      </c>
      <c r="O43" s="10"/>
      <c r="P43" s="10"/>
      <c r="Q43" s="101"/>
      <c r="R43" s="99"/>
      <c r="S43" s="99"/>
      <c r="T43" s="102"/>
      <c r="U43" s="102"/>
      <c r="V43" s="102"/>
      <c r="W43" s="102"/>
      <c r="X43" s="99"/>
      <c r="Y43" s="99"/>
      <c r="Z43" s="99"/>
      <c r="AA43" s="99"/>
      <c r="AB43" s="99"/>
      <c r="AC43" s="10"/>
      <c r="AD43" s="99"/>
      <c r="AE43" s="103"/>
      <c r="AF43" s="16"/>
    </row>
    <row r="44" spans="1:32" x14ac:dyDescent="0.25">
      <c r="A44" s="10"/>
      <c r="B44" s="10"/>
      <c r="C44" s="53"/>
      <c r="D44" s="10"/>
      <c r="E44" s="10"/>
      <c r="F44" s="99"/>
      <c r="G44" s="10"/>
      <c r="H44" s="10"/>
      <c r="I44" s="100"/>
      <c r="J44" s="10"/>
      <c r="K44" s="99"/>
      <c r="L44" s="105" t="e">
        <f>VLOOKUP(K44,Species!$A$2:$D$2230,2,FALSE)</f>
        <v>#N/A</v>
      </c>
      <c r="M44" s="105" t="e">
        <f>VLOOKUP(K44,Species!$A$2:$D$2230,3,FALSE)</f>
        <v>#N/A</v>
      </c>
      <c r="N44" s="105" t="e">
        <f>VLOOKUP(K44,Species!$A$2:$D$2230,4,FALSE)</f>
        <v>#N/A</v>
      </c>
      <c r="O44" s="10"/>
      <c r="P44" s="10"/>
      <c r="Q44" s="101"/>
      <c r="R44" s="99"/>
      <c r="S44" s="99"/>
      <c r="T44" s="102"/>
      <c r="U44" s="102"/>
      <c r="V44" s="102"/>
      <c r="W44" s="102"/>
      <c r="X44" s="99"/>
      <c r="Y44" s="99"/>
      <c r="Z44" s="99"/>
      <c r="AA44" s="99"/>
      <c r="AB44" s="99"/>
      <c r="AC44" s="10"/>
      <c r="AD44" s="99"/>
      <c r="AE44" s="103"/>
      <c r="AF44" s="16"/>
    </row>
    <row r="45" spans="1:32" x14ac:dyDescent="0.25">
      <c r="A45" s="10"/>
      <c r="B45" s="10"/>
      <c r="C45" s="53"/>
      <c r="D45" s="10"/>
      <c r="E45" s="10"/>
      <c r="F45" s="99"/>
      <c r="G45" s="10"/>
      <c r="H45" s="10"/>
      <c r="I45" s="100"/>
      <c r="J45" s="10"/>
      <c r="K45" s="99"/>
      <c r="L45" s="105" t="e">
        <f>VLOOKUP(K45,Species!$A$2:$D$2230,2,FALSE)</f>
        <v>#N/A</v>
      </c>
      <c r="M45" s="105" t="e">
        <f>VLOOKUP(K45,Species!$A$2:$D$2230,3,FALSE)</f>
        <v>#N/A</v>
      </c>
      <c r="N45" s="105" t="e">
        <f>VLOOKUP(K45,Species!$A$2:$D$2230,4,FALSE)</f>
        <v>#N/A</v>
      </c>
      <c r="O45" s="10"/>
      <c r="P45" s="10"/>
      <c r="Q45" s="101"/>
      <c r="R45" s="99"/>
      <c r="S45" s="99"/>
      <c r="T45" s="102"/>
      <c r="U45" s="102"/>
      <c r="V45" s="102"/>
      <c r="W45" s="102"/>
      <c r="X45" s="99"/>
      <c r="Y45" s="99"/>
      <c r="Z45" s="99"/>
      <c r="AA45" s="99"/>
      <c r="AB45" s="99"/>
      <c r="AC45" s="10"/>
      <c r="AD45" s="99"/>
      <c r="AE45" s="103"/>
      <c r="AF45" s="16"/>
    </row>
    <row r="46" spans="1:32" x14ac:dyDescent="0.25">
      <c r="A46" s="10"/>
      <c r="B46" s="10"/>
      <c r="C46" s="53"/>
      <c r="D46" s="10"/>
      <c r="E46" s="10"/>
      <c r="F46" s="99"/>
      <c r="G46" s="10"/>
      <c r="H46" s="10"/>
      <c r="I46" s="100"/>
      <c r="J46" s="10"/>
      <c r="K46" s="99"/>
      <c r="L46" s="105" t="e">
        <f>VLOOKUP(K46,Species!$A$2:$D$2230,2,FALSE)</f>
        <v>#N/A</v>
      </c>
      <c r="M46" s="105" t="e">
        <f>VLOOKUP(K46,Species!$A$2:$D$2230,3,FALSE)</f>
        <v>#N/A</v>
      </c>
      <c r="N46" s="105" t="e">
        <f>VLOOKUP(K46,Species!$A$2:$D$2230,4,FALSE)</f>
        <v>#N/A</v>
      </c>
      <c r="O46" s="10"/>
      <c r="P46" s="10"/>
      <c r="Q46" s="101"/>
      <c r="R46" s="99"/>
      <c r="S46" s="99"/>
      <c r="T46" s="102"/>
      <c r="U46" s="102"/>
      <c r="V46" s="102"/>
      <c r="W46" s="102"/>
      <c r="X46" s="99"/>
      <c r="Y46" s="99"/>
      <c r="Z46" s="99"/>
      <c r="AA46" s="99"/>
      <c r="AB46" s="99"/>
      <c r="AC46" s="10"/>
      <c r="AD46" s="99"/>
      <c r="AE46" s="103"/>
      <c r="AF46" s="16"/>
    </row>
    <row r="47" spans="1:32" x14ac:dyDescent="0.25">
      <c r="A47" s="10"/>
      <c r="B47" s="10"/>
      <c r="C47" s="53"/>
      <c r="D47" s="10"/>
      <c r="E47" s="10"/>
      <c r="F47" s="99"/>
      <c r="G47" s="10"/>
      <c r="H47" s="10"/>
      <c r="I47" s="100"/>
      <c r="J47" s="10"/>
      <c r="K47" s="99"/>
      <c r="L47" s="105" t="e">
        <f>VLOOKUP(K47,Species!$A$2:$D$2230,2,FALSE)</f>
        <v>#N/A</v>
      </c>
      <c r="M47" s="105" t="e">
        <f>VLOOKUP(K47,Species!$A$2:$D$2230,3,FALSE)</f>
        <v>#N/A</v>
      </c>
      <c r="N47" s="105" t="e">
        <f>VLOOKUP(K47,Species!$A$2:$D$2230,4,FALSE)</f>
        <v>#N/A</v>
      </c>
      <c r="O47" s="10"/>
      <c r="P47" s="10"/>
      <c r="Q47" s="101"/>
      <c r="R47" s="99"/>
      <c r="S47" s="99"/>
      <c r="T47" s="102"/>
      <c r="U47" s="102"/>
      <c r="V47" s="102"/>
      <c r="W47" s="102"/>
      <c r="X47" s="99"/>
      <c r="Y47" s="99"/>
      <c r="Z47" s="99"/>
      <c r="AA47" s="99"/>
      <c r="AB47" s="99"/>
      <c r="AC47" s="10"/>
      <c r="AD47" s="99"/>
      <c r="AE47" s="103"/>
      <c r="AF47" s="16"/>
    </row>
    <row r="48" spans="1:32" x14ac:dyDescent="0.25">
      <c r="A48" s="54"/>
      <c r="B48" s="54"/>
      <c r="C48" s="53"/>
      <c r="D48" s="54"/>
      <c r="E48" s="54"/>
      <c r="F48" s="99"/>
      <c r="G48" s="54"/>
      <c r="H48" s="54"/>
      <c r="I48" s="100"/>
      <c r="J48" s="54"/>
      <c r="K48" s="99"/>
      <c r="L48" s="105" t="e">
        <f>VLOOKUP(K48,Species!$A$2:$D$2230,2,FALSE)</f>
        <v>#N/A</v>
      </c>
      <c r="M48" s="105" t="e">
        <f>VLOOKUP(K48,Species!$A$2:$D$2230,3,FALSE)</f>
        <v>#N/A</v>
      </c>
      <c r="N48" s="105" t="e">
        <f>VLOOKUP(K48,Species!$A$2:$D$2230,4,FALSE)</f>
        <v>#N/A</v>
      </c>
      <c r="O48" s="54"/>
      <c r="P48" s="54"/>
      <c r="Q48" s="101"/>
      <c r="R48" s="99"/>
      <c r="S48" s="99"/>
      <c r="T48" s="102"/>
      <c r="U48" s="102"/>
      <c r="V48" s="102"/>
      <c r="W48" s="102"/>
      <c r="X48" s="102"/>
      <c r="Y48" s="102"/>
      <c r="Z48" s="102"/>
      <c r="AA48" s="102"/>
      <c r="AB48" s="102"/>
      <c r="AC48" s="54"/>
      <c r="AD48" s="102"/>
      <c r="AE48" s="104"/>
      <c r="AF48" s="16"/>
    </row>
    <row r="49" spans="1:32" x14ac:dyDescent="0.25">
      <c r="A49" s="10"/>
      <c r="B49" s="10"/>
      <c r="C49" s="53"/>
      <c r="D49" s="10"/>
      <c r="E49" s="10"/>
      <c r="F49" s="99"/>
      <c r="G49" s="10"/>
      <c r="H49" s="10"/>
      <c r="I49" s="100"/>
      <c r="J49" s="10"/>
      <c r="K49" s="99"/>
      <c r="L49" s="105" t="e">
        <f>VLOOKUP(K49,Species!$A$2:$D$2230,2,FALSE)</f>
        <v>#N/A</v>
      </c>
      <c r="M49" s="105" t="e">
        <f>VLOOKUP(K49,Species!$A$2:$D$2230,3,FALSE)</f>
        <v>#N/A</v>
      </c>
      <c r="N49" s="105" t="e">
        <f>VLOOKUP(K49,Species!$A$2:$D$2230,4,FALSE)</f>
        <v>#N/A</v>
      </c>
      <c r="O49" s="10"/>
      <c r="P49" s="10"/>
      <c r="Q49" s="101"/>
      <c r="R49" s="99"/>
      <c r="S49" s="99"/>
      <c r="T49" s="102"/>
      <c r="U49" s="102"/>
      <c r="V49" s="102"/>
      <c r="W49" s="102"/>
      <c r="X49" s="99"/>
      <c r="Y49" s="99"/>
      <c r="Z49" s="99"/>
      <c r="AA49" s="99"/>
      <c r="AB49" s="99"/>
      <c r="AC49" s="10"/>
      <c r="AD49" s="99"/>
      <c r="AE49" s="103"/>
      <c r="AF49" s="16"/>
    </row>
    <row r="50" spans="1:32" x14ac:dyDescent="0.25">
      <c r="A50" s="10"/>
      <c r="B50" s="10"/>
      <c r="C50" s="53"/>
      <c r="D50" s="10"/>
      <c r="E50" s="10"/>
      <c r="F50" s="99"/>
      <c r="G50" s="10"/>
      <c r="H50" s="10"/>
      <c r="I50" s="100"/>
      <c r="J50" s="10"/>
      <c r="K50" s="99"/>
      <c r="L50" s="105" t="e">
        <f>VLOOKUP(K50,Species!$A$2:$D$2230,2,FALSE)</f>
        <v>#N/A</v>
      </c>
      <c r="M50" s="105" t="e">
        <f>VLOOKUP(K50,Species!$A$2:$D$2230,3,FALSE)</f>
        <v>#N/A</v>
      </c>
      <c r="N50" s="105" t="e">
        <f>VLOOKUP(K50,Species!$A$2:$D$2230,4,FALSE)</f>
        <v>#N/A</v>
      </c>
      <c r="O50" s="10"/>
      <c r="P50" s="10"/>
      <c r="Q50" s="101"/>
      <c r="R50" s="99"/>
      <c r="S50" s="99"/>
      <c r="T50" s="102"/>
      <c r="U50" s="102"/>
      <c r="V50" s="102"/>
      <c r="W50" s="102"/>
      <c r="X50" s="99"/>
      <c r="Y50" s="99"/>
      <c r="Z50" s="99"/>
      <c r="AA50" s="99"/>
      <c r="AB50" s="99"/>
      <c r="AC50" s="10"/>
      <c r="AD50" s="99"/>
      <c r="AE50" s="103"/>
      <c r="AF50" s="16"/>
    </row>
    <row r="51" spans="1:32" x14ac:dyDescent="0.25">
      <c r="A51" s="10"/>
      <c r="B51" s="10"/>
      <c r="C51" s="53"/>
      <c r="D51" s="10"/>
      <c r="E51" s="10"/>
      <c r="F51" s="99"/>
      <c r="G51" s="10"/>
      <c r="H51" s="10"/>
      <c r="I51" s="100"/>
      <c r="J51" s="10"/>
      <c r="K51" s="99"/>
      <c r="L51" s="105" t="e">
        <f>VLOOKUP(K51,Species!$A$2:$D$2230,2,FALSE)</f>
        <v>#N/A</v>
      </c>
      <c r="M51" s="105" t="e">
        <f>VLOOKUP(K51,Species!$A$2:$D$2230,3,FALSE)</f>
        <v>#N/A</v>
      </c>
      <c r="N51" s="105" t="e">
        <f>VLOOKUP(K51,Species!$A$2:$D$2230,4,FALSE)</f>
        <v>#N/A</v>
      </c>
      <c r="O51" s="10"/>
      <c r="P51" s="10"/>
      <c r="Q51" s="101"/>
      <c r="R51" s="99"/>
      <c r="S51" s="99"/>
      <c r="T51" s="102"/>
      <c r="U51" s="102"/>
      <c r="V51" s="102"/>
      <c r="W51" s="102"/>
      <c r="X51" s="99"/>
      <c r="Y51" s="99"/>
      <c r="Z51" s="99"/>
      <c r="AA51" s="99"/>
      <c r="AB51" s="99"/>
      <c r="AC51" s="10"/>
      <c r="AD51" s="99"/>
      <c r="AE51" s="103"/>
      <c r="AF51" s="16"/>
    </row>
    <row r="52" spans="1:32" x14ac:dyDescent="0.25">
      <c r="A52" s="10"/>
      <c r="B52" s="10"/>
      <c r="C52" s="53"/>
      <c r="D52" s="10"/>
      <c r="E52" s="10"/>
      <c r="F52" s="99"/>
      <c r="G52" s="10"/>
      <c r="H52" s="10"/>
      <c r="I52" s="100"/>
      <c r="J52" s="10"/>
      <c r="K52" s="99"/>
      <c r="L52" s="105" t="e">
        <f>VLOOKUP(K52,Species!$A$2:$D$2230,2,FALSE)</f>
        <v>#N/A</v>
      </c>
      <c r="M52" s="105" t="e">
        <f>VLOOKUP(K52,Species!$A$2:$D$2230,3,FALSE)</f>
        <v>#N/A</v>
      </c>
      <c r="N52" s="105" t="e">
        <f>VLOOKUP(K52,Species!$A$2:$D$2230,4,FALSE)</f>
        <v>#N/A</v>
      </c>
      <c r="O52" s="10"/>
      <c r="P52" s="10"/>
      <c r="Q52" s="101"/>
      <c r="R52" s="99"/>
      <c r="S52" s="99"/>
      <c r="T52" s="102"/>
      <c r="U52" s="102"/>
      <c r="V52" s="102"/>
      <c r="W52" s="102"/>
      <c r="X52" s="99"/>
      <c r="Y52" s="99"/>
      <c r="Z52" s="99"/>
      <c r="AA52" s="99"/>
      <c r="AB52" s="99"/>
      <c r="AC52" s="10"/>
      <c r="AD52" s="99"/>
      <c r="AE52" s="103"/>
      <c r="AF52" s="16"/>
    </row>
    <row r="53" spans="1:32" x14ac:dyDescent="0.25">
      <c r="A53" s="10"/>
      <c r="B53" s="10"/>
      <c r="C53" s="53"/>
      <c r="D53" s="10"/>
      <c r="E53" s="10"/>
      <c r="F53" s="99"/>
      <c r="G53" s="10"/>
      <c r="H53" s="10"/>
      <c r="I53" s="100"/>
      <c r="J53" s="10"/>
      <c r="K53" s="99"/>
      <c r="L53" s="105" t="e">
        <f>VLOOKUP(K53,Species!$A$2:$D$2230,2,FALSE)</f>
        <v>#N/A</v>
      </c>
      <c r="M53" s="105" t="e">
        <f>VLOOKUP(K53,Species!$A$2:$D$2230,3,FALSE)</f>
        <v>#N/A</v>
      </c>
      <c r="N53" s="105" t="e">
        <f>VLOOKUP(K53,Species!$A$2:$D$2230,4,FALSE)</f>
        <v>#N/A</v>
      </c>
      <c r="O53" s="10"/>
      <c r="P53" s="10"/>
      <c r="Q53" s="101"/>
      <c r="R53" s="99"/>
      <c r="S53" s="99"/>
      <c r="T53" s="102"/>
      <c r="U53" s="102"/>
      <c r="V53" s="102"/>
      <c r="W53" s="102"/>
      <c r="X53" s="99"/>
      <c r="Y53" s="99"/>
      <c r="Z53" s="99"/>
      <c r="AA53" s="99"/>
      <c r="AB53" s="99"/>
      <c r="AC53" s="10"/>
      <c r="AD53" s="99"/>
      <c r="AE53" s="103"/>
      <c r="AF53" s="16"/>
    </row>
    <row r="54" spans="1:32" x14ac:dyDescent="0.25">
      <c r="A54" s="10"/>
      <c r="B54" s="10"/>
      <c r="C54" s="53"/>
      <c r="D54" s="10"/>
      <c r="E54" s="10"/>
      <c r="F54" s="99"/>
      <c r="G54" s="10"/>
      <c r="H54" s="10"/>
      <c r="I54" s="100"/>
      <c r="J54" s="10"/>
      <c r="K54" s="99"/>
      <c r="L54" s="105" t="e">
        <f>VLOOKUP(K54,Species!$A$2:$D$2230,2,FALSE)</f>
        <v>#N/A</v>
      </c>
      <c r="M54" s="105" t="e">
        <f>VLOOKUP(K54,Species!$A$2:$D$2230,3,FALSE)</f>
        <v>#N/A</v>
      </c>
      <c r="N54" s="105" t="e">
        <f>VLOOKUP(K54,Species!$A$2:$D$2230,4,FALSE)</f>
        <v>#N/A</v>
      </c>
      <c r="O54" s="10"/>
      <c r="P54" s="10"/>
      <c r="Q54" s="101"/>
      <c r="R54" s="99"/>
      <c r="S54" s="99"/>
      <c r="T54" s="102"/>
      <c r="U54" s="102"/>
      <c r="V54" s="102"/>
      <c r="W54" s="102"/>
      <c r="X54" s="99"/>
      <c r="Y54" s="99"/>
      <c r="Z54" s="99"/>
      <c r="AA54" s="99"/>
      <c r="AB54" s="99"/>
      <c r="AC54" s="10"/>
      <c r="AD54" s="99"/>
      <c r="AE54" s="103"/>
      <c r="AF54" s="16"/>
    </row>
    <row r="55" spans="1:32" x14ac:dyDescent="0.25">
      <c r="A55" s="10"/>
      <c r="B55" s="10"/>
      <c r="C55" s="53"/>
      <c r="D55" s="10"/>
      <c r="E55" s="10"/>
      <c r="F55" s="99"/>
      <c r="G55" s="10"/>
      <c r="H55" s="10"/>
      <c r="I55" s="100"/>
      <c r="J55" s="10"/>
      <c r="K55" s="99"/>
      <c r="L55" s="105" t="e">
        <f>VLOOKUP(K55,Species!$A$2:$D$2230,2,FALSE)</f>
        <v>#N/A</v>
      </c>
      <c r="M55" s="105" t="e">
        <f>VLOOKUP(K55,Species!$A$2:$D$2230,3,FALSE)</f>
        <v>#N/A</v>
      </c>
      <c r="N55" s="105" t="e">
        <f>VLOOKUP(K55,Species!$A$2:$D$2230,4,FALSE)</f>
        <v>#N/A</v>
      </c>
      <c r="O55" s="10"/>
      <c r="P55" s="10"/>
      <c r="Q55" s="101"/>
      <c r="R55" s="99"/>
      <c r="S55" s="99"/>
      <c r="T55" s="102"/>
      <c r="U55" s="102"/>
      <c r="V55" s="102"/>
      <c r="W55" s="102"/>
      <c r="X55" s="99"/>
      <c r="Y55" s="99"/>
      <c r="Z55" s="99"/>
      <c r="AA55" s="99"/>
      <c r="AB55" s="99"/>
      <c r="AC55" s="10"/>
      <c r="AD55" s="99"/>
      <c r="AE55" s="103"/>
      <c r="AF55" s="16"/>
    </row>
    <row r="56" spans="1:32" x14ac:dyDescent="0.25">
      <c r="A56" s="10"/>
      <c r="B56" s="10"/>
      <c r="C56" s="53"/>
      <c r="D56" s="10"/>
      <c r="E56" s="10"/>
      <c r="F56" s="99"/>
      <c r="G56" s="10"/>
      <c r="H56" s="10"/>
      <c r="I56" s="100"/>
      <c r="J56" s="10"/>
      <c r="K56" s="99"/>
      <c r="L56" s="105" t="e">
        <f>VLOOKUP(K56,Species!$A$2:$D$2230,2,FALSE)</f>
        <v>#N/A</v>
      </c>
      <c r="M56" s="105" t="e">
        <f>VLOOKUP(K56,Species!$A$2:$D$2230,3,FALSE)</f>
        <v>#N/A</v>
      </c>
      <c r="N56" s="105" t="e">
        <f>VLOOKUP(K56,Species!$A$2:$D$2230,4,FALSE)</f>
        <v>#N/A</v>
      </c>
      <c r="O56" s="10"/>
      <c r="P56" s="10"/>
      <c r="Q56" s="101"/>
      <c r="R56" s="99"/>
      <c r="S56" s="99"/>
      <c r="T56" s="102"/>
      <c r="U56" s="102"/>
      <c r="V56" s="102"/>
      <c r="W56" s="102"/>
      <c r="X56" s="99"/>
      <c r="Y56" s="99"/>
      <c r="Z56" s="99"/>
      <c r="AA56" s="99"/>
      <c r="AB56" s="99"/>
      <c r="AC56" s="10"/>
      <c r="AD56" s="99"/>
      <c r="AE56" s="103"/>
      <c r="AF56" s="16"/>
    </row>
    <row r="57" spans="1:32" x14ac:dyDescent="0.25">
      <c r="A57" s="54"/>
      <c r="B57" s="54"/>
      <c r="C57" s="53"/>
      <c r="D57" s="54"/>
      <c r="E57" s="54"/>
      <c r="F57" s="99"/>
      <c r="G57" s="54"/>
      <c r="H57" s="54"/>
      <c r="I57" s="100"/>
      <c r="J57" s="54"/>
      <c r="K57" s="99"/>
      <c r="L57" s="105" t="e">
        <f>VLOOKUP(K57,Species!$A$2:$D$2230,2,FALSE)</f>
        <v>#N/A</v>
      </c>
      <c r="M57" s="105" t="e">
        <f>VLOOKUP(K57,Species!$A$2:$D$2230,3,FALSE)</f>
        <v>#N/A</v>
      </c>
      <c r="N57" s="105" t="e">
        <f>VLOOKUP(K57,Species!$A$2:$D$2230,4,FALSE)</f>
        <v>#N/A</v>
      </c>
      <c r="O57" s="54"/>
      <c r="P57" s="54"/>
      <c r="Q57" s="101"/>
      <c r="R57" s="99"/>
      <c r="S57" s="99"/>
      <c r="T57" s="102"/>
      <c r="U57" s="102"/>
      <c r="V57" s="102"/>
      <c r="W57" s="102"/>
      <c r="X57" s="102"/>
      <c r="Y57" s="102"/>
      <c r="Z57" s="102"/>
      <c r="AA57" s="102"/>
      <c r="AB57" s="102"/>
      <c r="AC57" s="54"/>
      <c r="AD57" s="102"/>
      <c r="AE57" s="104"/>
      <c r="AF57" s="16"/>
    </row>
    <row r="58" spans="1:32" x14ac:dyDescent="0.25">
      <c r="A58" s="10"/>
      <c r="B58" s="10"/>
      <c r="C58" s="53"/>
      <c r="D58" s="10"/>
      <c r="E58" s="10"/>
      <c r="F58" s="99"/>
      <c r="G58" s="10"/>
      <c r="H58" s="10"/>
      <c r="I58" s="100"/>
      <c r="J58" s="10"/>
      <c r="K58" s="99"/>
      <c r="L58" s="105" t="e">
        <f>VLOOKUP(K58,Species!$A$2:$D$2230,2,FALSE)</f>
        <v>#N/A</v>
      </c>
      <c r="M58" s="105" t="e">
        <f>VLOOKUP(K58,Species!$A$2:$D$2230,3,FALSE)</f>
        <v>#N/A</v>
      </c>
      <c r="N58" s="105" t="e">
        <f>VLOOKUP(K58,Species!$A$2:$D$2230,4,FALSE)</f>
        <v>#N/A</v>
      </c>
      <c r="O58" s="10"/>
      <c r="P58" s="10"/>
      <c r="Q58" s="101"/>
      <c r="R58" s="99"/>
      <c r="S58" s="99"/>
      <c r="T58" s="102"/>
      <c r="U58" s="102"/>
      <c r="V58" s="102"/>
      <c r="W58" s="102"/>
      <c r="X58" s="99"/>
      <c r="Y58" s="99"/>
      <c r="Z58" s="99"/>
      <c r="AA58" s="99"/>
      <c r="AB58" s="99"/>
      <c r="AC58" s="10"/>
      <c r="AD58" s="99"/>
      <c r="AE58" s="103"/>
      <c r="AF58" s="16"/>
    </row>
    <row r="59" spans="1:32" x14ac:dyDescent="0.25">
      <c r="A59" s="10"/>
      <c r="B59" s="10"/>
      <c r="C59" s="53"/>
      <c r="D59" s="10"/>
      <c r="E59" s="10"/>
      <c r="F59" s="99"/>
      <c r="G59" s="10"/>
      <c r="H59" s="10"/>
      <c r="I59" s="100"/>
      <c r="J59" s="10"/>
      <c r="K59" s="99"/>
      <c r="L59" s="105" t="e">
        <f>VLOOKUP(K59,Species!$A$2:$D$2230,2,FALSE)</f>
        <v>#N/A</v>
      </c>
      <c r="M59" s="105" t="e">
        <f>VLOOKUP(K59,Species!$A$2:$D$2230,3,FALSE)</f>
        <v>#N/A</v>
      </c>
      <c r="N59" s="105" t="e">
        <f>VLOOKUP(K59,Species!$A$2:$D$2230,4,FALSE)</f>
        <v>#N/A</v>
      </c>
      <c r="O59" s="10"/>
      <c r="P59" s="10"/>
      <c r="Q59" s="101"/>
      <c r="R59" s="99"/>
      <c r="S59" s="99"/>
      <c r="T59" s="102"/>
      <c r="U59" s="102"/>
      <c r="V59" s="102"/>
      <c r="W59" s="102"/>
      <c r="X59" s="99"/>
      <c r="Y59" s="99"/>
      <c r="Z59" s="99"/>
      <c r="AA59" s="99"/>
      <c r="AB59" s="99"/>
      <c r="AC59" s="10"/>
      <c r="AD59" s="99"/>
      <c r="AE59" s="103"/>
      <c r="AF59" s="16"/>
    </row>
    <row r="60" spans="1:32" x14ac:dyDescent="0.25">
      <c r="A60" s="10"/>
      <c r="B60" s="10"/>
      <c r="C60" s="53"/>
      <c r="D60" s="10"/>
      <c r="E60" s="10"/>
      <c r="F60" s="99"/>
      <c r="G60" s="10"/>
      <c r="H60" s="10"/>
      <c r="I60" s="100"/>
      <c r="J60" s="10"/>
      <c r="K60" s="99"/>
      <c r="L60" s="105" t="e">
        <f>VLOOKUP(K60,Species!$A$2:$D$2230,2,FALSE)</f>
        <v>#N/A</v>
      </c>
      <c r="M60" s="105" t="e">
        <f>VLOOKUP(K60,Species!$A$2:$D$2230,3,FALSE)</f>
        <v>#N/A</v>
      </c>
      <c r="N60" s="105" t="e">
        <f>VLOOKUP(K60,Species!$A$2:$D$2230,4,FALSE)</f>
        <v>#N/A</v>
      </c>
      <c r="O60" s="10"/>
      <c r="P60" s="10"/>
      <c r="Q60" s="101"/>
      <c r="R60" s="99"/>
      <c r="S60" s="99"/>
      <c r="T60" s="102"/>
      <c r="U60" s="102"/>
      <c r="V60" s="102"/>
      <c r="W60" s="102"/>
      <c r="X60" s="99"/>
      <c r="Y60" s="99"/>
      <c r="Z60" s="99"/>
      <c r="AA60" s="99"/>
      <c r="AB60" s="99"/>
      <c r="AC60" s="10"/>
      <c r="AD60" s="99"/>
      <c r="AE60" s="103"/>
      <c r="AF60" s="16"/>
    </row>
    <row r="61" spans="1:32" x14ac:dyDescent="0.25">
      <c r="A61" s="10"/>
      <c r="B61" s="10"/>
      <c r="C61" s="53"/>
      <c r="D61" s="10"/>
      <c r="E61" s="10"/>
      <c r="F61" s="99"/>
      <c r="G61" s="10"/>
      <c r="H61" s="10"/>
      <c r="I61" s="100"/>
      <c r="J61" s="10"/>
      <c r="K61" s="99"/>
      <c r="L61" s="105" t="e">
        <f>VLOOKUP(K61,Species!$A$2:$D$2230,2,FALSE)</f>
        <v>#N/A</v>
      </c>
      <c r="M61" s="105" t="e">
        <f>VLOOKUP(K61,Species!$A$2:$D$2230,3,FALSE)</f>
        <v>#N/A</v>
      </c>
      <c r="N61" s="105" t="e">
        <f>VLOOKUP(K61,Species!$A$2:$D$2230,4,FALSE)</f>
        <v>#N/A</v>
      </c>
      <c r="O61" s="10"/>
      <c r="P61" s="10"/>
      <c r="Q61" s="101"/>
      <c r="R61" s="99"/>
      <c r="S61" s="99"/>
      <c r="T61" s="102"/>
      <c r="U61" s="102"/>
      <c r="V61" s="102"/>
      <c r="W61" s="102"/>
      <c r="X61" s="99"/>
      <c r="Y61" s="99"/>
      <c r="Z61" s="99"/>
      <c r="AA61" s="99"/>
      <c r="AB61" s="99"/>
      <c r="AC61" s="10"/>
      <c r="AD61" s="99"/>
      <c r="AE61" s="103"/>
      <c r="AF61" s="16"/>
    </row>
    <row r="62" spans="1:32" x14ac:dyDescent="0.25">
      <c r="A62" s="10"/>
      <c r="B62" s="10"/>
      <c r="C62" s="53"/>
      <c r="D62" s="10"/>
      <c r="E62" s="10"/>
      <c r="F62" s="99"/>
      <c r="G62" s="10"/>
      <c r="H62" s="10"/>
      <c r="I62" s="100"/>
      <c r="J62" s="10"/>
      <c r="K62" s="99"/>
      <c r="L62" s="105" t="e">
        <f>VLOOKUP(K62,Species!$A$2:$D$2230,2,FALSE)</f>
        <v>#N/A</v>
      </c>
      <c r="M62" s="105" t="e">
        <f>VLOOKUP(K62,Species!$A$2:$D$2230,3,FALSE)</f>
        <v>#N/A</v>
      </c>
      <c r="N62" s="105" t="e">
        <f>VLOOKUP(K62,Species!$A$2:$D$2230,4,FALSE)</f>
        <v>#N/A</v>
      </c>
      <c r="O62" s="10"/>
      <c r="P62" s="10"/>
      <c r="Q62" s="101"/>
      <c r="R62" s="99"/>
      <c r="S62" s="99"/>
      <c r="T62" s="102"/>
      <c r="U62" s="102"/>
      <c r="V62" s="102"/>
      <c r="W62" s="102"/>
      <c r="X62" s="99"/>
      <c r="Y62" s="99"/>
      <c r="Z62" s="99"/>
      <c r="AA62" s="99"/>
      <c r="AB62" s="99"/>
      <c r="AC62" s="10"/>
      <c r="AD62" s="99"/>
      <c r="AE62" s="103"/>
      <c r="AF62" s="16"/>
    </row>
    <row r="63" spans="1:32" x14ac:dyDescent="0.25">
      <c r="A63" s="10"/>
      <c r="B63" s="10"/>
      <c r="C63" s="53"/>
      <c r="D63" s="10"/>
      <c r="E63" s="10"/>
      <c r="F63" s="99"/>
      <c r="G63" s="10"/>
      <c r="H63" s="10"/>
      <c r="I63" s="100"/>
      <c r="J63" s="10"/>
      <c r="K63" s="99"/>
      <c r="L63" s="105" t="e">
        <f>VLOOKUP(K63,Species!$A$2:$D$2230,2,FALSE)</f>
        <v>#N/A</v>
      </c>
      <c r="M63" s="105" t="e">
        <f>VLOOKUP(K63,Species!$A$2:$D$2230,3,FALSE)</f>
        <v>#N/A</v>
      </c>
      <c r="N63" s="105" t="e">
        <f>VLOOKUP(K63,Species!$A$2:$D$2230,4,FALSE)</f>
        <v>#N/A</v>
      </c>
      <c r="O63" s="10"/>
      <c r="P63" s="10"/>
      <c r="Q63" s="101"/>
      <c r="R63" s="99"/>
      <c r="S63" s="99"/>
      <c r="T63" s="102"/>
      <c r="U63" s="102"/>
      <c r="V63" s="102"/>
      <c r="W63" s="102"/>
      <c r="X63" s="99"/>
      <c r="Y63" s="99"/>
      <c r="Z63" s="99"/>
      <c r="AA63" s="99"/>
      <c r="AB63" s="99"/>
      <c r="AC63" s="10"/>
      <c r="AD63" s="99"/>
      <c r="AE63" s="103"/>
      <c r="AF63" s="16"/>
    </row>
    <row r="64" spans="1:32" x14ac:dyDescent="0.25">
      <c r="A64" s="10"/>
      <c r="B64" s="10"/>
      <c r="C64" s="53"/>
      <c r="D64" s="10"/>
      <c r="E64" s="10"/>
      <c r="F64" s="99"/>
      <c r="G64" s="10"/>
      <c r="H64" s="10"/>
      <c r="I64" s="100"/>
      <c r="J64" s="10"/>
      <c r="K64" s="99"/>
      <c r="L64" s="105" t="e">
        <f>VLOOKUP(K64,Species!$A$2:$D$2230,2,FALSE)</f>
        <v>#N/A</v>
      </c>
      <c r="M64" s="105" t="e">
        <f>VLOOKUP(K64,Species!$A$2:$D$2230,3,FALSE)</f>
        <v>#N/A</v>
      </c>
      <c r="N64" s="105" t="e">
        <f>VLOOKUP(K64,Species!$A$2:$D$2230,4,FALSE)</f>
        <v>#N/A</v>
      </c>
      <c r="O64" s="10"/>
      <c r="P64" s="10"/>
      <c r="Q64" s="101"/>
      <c r="R64" s="99"/>
      <c r="S64" s="99"/>
      <c r="T64" s="102"/>
      <c r="U64" s="102"/>
      <c r="V64" s="102"/>
      <c r="W64" s="102"/>
      <c r="X64" s="99"/>
      <c r="Y64" s="99"/>
      <c r="Z64" s="99"/>
      <c r="AA64" s="99"/>
      <c r="AB64" s="99"/>
      <c r="AC64" s="10"/>
      <c r="AD64" s="99"/>
      <c r="AE64" s="103"/>
      <c r="AF64" s="16"/>
    </row>
    <row r="65" spans="1:32" x14ac:dyDescent="0.25">
      <c r="A65" s="10"/>
      <c r="B65" s="10"/>
      <c r="C65" s="53"/>
      <c r="D65" s="10"/>
      <c r="E65" s="10"/>
      <c r="F65" s="99"/>
      <c r="G65" s="10"/>
      <c r="H65" s="10"/>
      <c r="I65" s="100"/>
      <c r="J65" s="10"/>
      <c r="K65" s="99"/>
      <c r="L65" s="105" t="e">
        <f>VLOOKUP(K65,Species!$A$2:$D$2230,2,FALSE)</f>
        <v>#N/A</v>
      </c>
      <c r="M65" s="105" t="e">
        <f>VLOOKUP(K65,Species!$A$2:$D$2230,3,FALSE)</f>
        <v>#N/A</v>
      </c>
      <c r="N65" s="105" t="e">
        <f>VLOOKUP(K65,Species!$A$2:$D$2230,4,FALSE)</f>
        <v>#N/A</v>
      </c>
      <c r="O65" s="10"/>
      <c r="P65" s="10"/>
      <c r="Q65" s="101"/>
      <c r="R65" s="99"/>
      <c r="S65" s="99"/>
      <c r="T65" s="102"/>
      <c r="U65" s="102"/>
      <c r="V65" s="102"/>
      <c r="W65" s="102"/>
      <c r="X65" s="99"/>
      <c r="Y65" s="99"/>
      <c r="Z65" s="99"/>
      <c r="AA65" s="99"/>
      <c r="AB65" s="99"/>
      <c r="AC65" s="10"/>
      <c r="AD65" s="99"/>
      <c r="AE65" s="103"/>
      <c r="AF65" s="16"/>
    </row>
    <row r="66" spans="1:32" x14ac:dyDescent="0.25">
      <c r="A66" s="54"/>
      <c r="B66" s="54"/>
      <c r="C66" s="53"/>
      <c r="D66" s="54"/>
      <c r="E66" s="54"/>
      <c r="F66" s="99"/>
      <c r="G66" s="54"/>
      <c r="H66" s="54"/>
      <c r="I66" s="100"/>
      <c r="J66" s="54"/>
      <c r="K66" s="99"/>
      <c r="L66" s="105" t="e">
        <f>VLOOKUP(K66,Species!$A$2:$D$2230,2,FALSE)</f>
        <v>#N/A</v>
      </c>
      <c r="M66" s="105" t="e">
        <f>VLOOKUP(K66,Species!$A$2:$D$2230,3,FALSE)</f>
        <v>#N/A</v>
      </c>
      <c r="N66" s="105" t="e">
        <f>VLOOKUP(K66,Species!$A$2:$D$2230,4,FALSE)</f>
        <v>#N/A</v>
      </c>
      <c r="O66" s="54"/>
      <c r="P66" s="54"/>
      <c r="Q66" s="101"/>
      <c r="R66" s="99"/>
      <c r="S66" s="99"/>
      <c r="T66" s="102"/>
      <c r="U66" s="102"/>
      <c r="V66" s="102"/>
      <c r="W66" s="102"/>
      <c r="X66" s="102"/>
      <c r="Y66" s="102"/>
      <c r="Z66" s="102"/>
      <c r="AA66" s="102"/>
      <c r="AB66" s="102"/>
      <c r="AC66" s="54"/>
      <c r="AD66" s="102"/>
      <c r="AE66" s="104"/>
      <c r="AF66" s="16"/>
    </row>
    <row r="67" spans="1:32" x14ac:dyDescent="0.25">
      <c r="A67" s="10"/>
      <c r="B67" s="10"/>
      <c r="C67" s="53"/>
      <c r="D67" s="10"/>
      <c r="E67" s="10"/>
      <c r="F67" s="99"/>
      <c r="G67" s="10"/>
      <c r="H67" s="10"/>
      <c r="I67" s="100"/>
      <c r="J67" s="10"/>
      <c r="K67" s="99"/>
      <c r="L67" s="105" t="e">
        <f>VLOOKUP(K67,Species!$A$2:$D$2230,2,FALSE)</f>
        <v>#N/A</v>
      </c>
      <c r="M67" s="105" t="e">
        <f>VLOOKUP(K67,Species!$A$2:$D$2230,3,FALSE)</f>
        <v>#N/A</v>
      </c>
      <c r="N67" s="105" t="e">
        <f>VLOOKUP(K67,Species!$A$2:$D$2230,4,FALSE)</f>
        <v>#N/A</v>
      </c>
      <c r="O67" s="10"/>
      <c r="P67" s="10"/>
      <c r="Q67" s="101"/>
      <c r="R67" s="99"/>
      <c r="S67" s="99"/>
      <c r="T67" s="102"/>
      <c r="U67" s="102"/>
      <c r="V67" s="102"/>
      <c r="W67" s="102"/>
      <c r="X67" s="99"/>
      <c r="Y67" s="99"/>
      <c r="Z67" s="99"/>
      <c r="AA67" s="99"/>
      <c r="AB67" s="99"/>
      <c r="AC67" s="10"/>
      <c r="AD67" s="99"/>
      <c r="AE67" s="103"/>
      <c r="AF67" s="16"/>
    </row>
    <row r="68" spans="1:32" x14ac:dyDescent="0.25">
      <c r="A68" s="10"/>
      <c r="B68" s="10"/>
      <c r="C68" s="53"/>
      <c r="D68" s="10"/>
      <c r="E68" s="10"/>
      <c r="F68" s="99"/>
      <c r="G68" s="10"/>
      <c r="H68" s="10"/>
      <c r="I68" s="100"/>
      <c r="J68" s="10"/>
      <c r="K68" s="99"/>
      <c r="L68" s="105" t="e">
        <f>VLOOKUP(K68,Species!$A$2:$D$2230,2,FALSE)</f>
        <v>#N/A</v>
      </c>
      <c r="M68" s="105" t="e">
        <f>VLOOKUP(K68,Species!$A$2:$D$2230,3,FALSE)</f>
        <v>#N/A</v>
      </c>
      <c r="N68" s="105" t="e">
        <f>VLOOKUP(K68,Species!$A$2:$D$2230,4,FALSE)</f>
        <v>#N/A</v>
      </c>
      <c r="O68" s="10"/>
      <c r="P68" s="10"/>
      <c r="Q68" s="101"/>
      <c r="R68" s="99"/>
      <c r="S68" s="99"/>
      <c r="T68" s="102"/>
      <c r="U68" s="102"/>
      <c r="V68" s="102"/>
      <c r="W68" s="102"/>
      <c r="X68" s="99"/>
      <c r="Y68" s="99"/>
      <c r="Z68" s="99"/>
      <c r="AA68" s="99"/>
      <c r="AB68" s="99"/>
      <c r="AC68" s="10"/>
      <c r="AD68" s="99"/>
      <c r="AE68" s="103"/>
      <c r="AF68" s="16"/>
    </row>
    <row r="69" spans="1:32" x14ac:dyDescent="0.25">
      <c r="A69" s="10"/>
      <c r="B69" s="10"/>
      <c r="C69" s="53"/>
      <c r="D69" s="10"/>
      <c r="E69" s="10"/>
      <c r="F69" s="99"/>
      <c r="G69" s="10"/>
      <c r="H69" s="10"/>
      <c r="I69" s="100"/>
      <c r="J69" s="10"/>
      <c r="K69" s="99"/>
      <c r="L69" s="105" t="e">
        <f>VLOOKUP(K69,Species!$A$2:$D$2230,2,FALSE)</f>
        <v>#N/A</v>
      </c>
      <c r="M69" s="105" t="e">
        <f>VLOOKUP(K69,Species!$A$2:$D$2230,3,FALSE)</f>
        <v>#N/A</v>
      </c>
      <c r="N69" s="105" t="e">
        <f>VLOOKUP(K69,Species!$A$2:$D$2230,4,FALSE)</f>
        <v>#N/A</v>
      </c>
      <c r="O69" s="10"/>
      <c r="P69" s="10"/>
      <c r="Q69" s="101"/>
      <c r="R69" s="99"/>
      <c r="S69" s="99"/>
      <c r="T69" s="102"/>
      <c r="U69" s="102"/>
      <c r="V69" s="102"/>
      <c r="W69" s="102"/>
      <c r="X69" s="99"/>
      <c r="Y69" s="99"/>
      <c r="Z69" s="99"/>
      <c r="AA69" s="99"/>
      <c r="AB69" s="99"/>
      <c r="AC69" s="10"/>
      <c r="AD69" s="99"/>
      <c r="AE69" s="103"/>
      <c r="AF69" s="16"/>
    </row>
    <row r="70" spans="1:32" x14ac:dyDescent="0.25">
      <c r="A70" s="10"/>
      <c r="B70" s="10"/>
      <c r="C70" s="53"/>
      <c r="D70" s="10"/>
      <c r="E70" s="10"/>
      <c r="F70" s="99"/>
      <c r="G70" s="10"/>
      <c r="H70" s="10"/>
      <c r="I70" s="100"/>
      <c r="J70" s="10"/>
      <c r="K70" s="99"/>
      <c r="L70" s="105" t="e">
        <f>VLOOKUP(K70,Species!$A$2:$D$2230,2,FALSE)</f>
        <v>#N/A</v>
      </c>
      <c r="M70" s="105" t="e">
        <f>VLOOKUP(K70,Species!$A$2:$D$2230,3,FALSE)</f>
        <v>#N/A</v>
      </c>
      <c r="N70" s="105" t="e">
        <f>VLOOKUP(K70,Species!$A$2:$D$2230,4,FALSE)</f>
        <v>#N/A</v>
      </c>
      <c r="O70" s="10"/>
      <c r="P70" s="10"/>
      <c r="Q70" s="101"/>
      <c r="R70" s="99"/>
      <c r="S70" s="99"/>
      <c r="T70" s="102"/>
      <c r="U70" s="102"/>
      <c r="V70" s="102"/>
      <c r="W70" s="102"/>
      <c r="X70" s="99"/>
      <c r="Y70" s="99"/>
      <c r="Z70" s="99"/>
      <c r="AA70" s="99"/>
      <c r="AB70" s="99"/>
      <c r="AC70" s="10"/>
      <c r="AD70" s="99"/>
      <c r="AE70" s="103"/>
      <c r="AF70" s="16"/>
    </row>
    <row r="71" spans="1:32" x14ac:dyDescent="0.25">
      <c r="A71" s="10"/>
      <c r="B71" s="10"/>
      <c r="C71" s="53"/>
      <c r="D71" s="10"/>
      <c r="E71" s="10"/>
      <c r="F71" s="99"/>
      <c r="G71" s="10"/>
      <c r="H71" s="10"/>
      <c r="I71" s="100"/>
      <c r="J71" s="10"/>
      <c r="K71" s="99"/>
      <c r="L71" s="105" t="e">
        <f>VLOOKUP(K71,Species!$A$2:$D$2230,2,FALSE)</f>
        <v>#N/A</v>
      </c>
      <c r="M71" s="105" t="e">
        <f>VLOOKUP(K71,Species!$A$2:$D$2230,3,FALSE)</f>
        <v>#N/A</v>
      </c>
      <c r="N71" s="105" t="e">
        <f>VLOOKUP(K71,Species!$A$2:$D$2230,4,FALSE)</f>
        <v>#N/A</v>
      </c>
      <c r="O71" s="10"/>
      <c r="P71" s="10"/>
      <c r="Q71" s="101"/>
      <c r="R71" s="99"/>
      <c r="S71" s="99"/>
      <c r="T71" s="102"/>
      <c r="U71" s="102"/>
      <c r="V71" s="102"/>
      <c r="W71" s="102"/>
      <c r="X71" s="99"/>
      <c r="Y71" s="99"/>
      <c r="Z71" s="99"/>
      <c r="AA71" s="99"/>
      <c r="AB71" s="99"/>
      <c r="AC71" s="10"/>
      <c r="AD71" s="99"/>
      <c r="AE71" s="103"/>
      <c r="AF71" s="16"/>
    </row>
    <row r="72" spans="1:32" x14ac:dyDescent="0.25">
      <c r="A72" s="10"/>
      <c r="B72" s="10"/>
      <c r="C72" s="53"/>
      <c r="D72" s="10"/>
      <c r="E72" s="10"/>
      <c r="F72" s="99"/>
      <c r="G72" s="10"/>
      <c r="H72" s="10"/>
      <c r="I72" s="100"/>
      <c r="J72" s="10"/>
      <c r="K72" s="99"/>
      <c r="L72" s="105" t="e">
        <f>VLOOKUP(K72,Species!$A$2:$D$2230,2,FALSE)</f>
        <v>#N/A</v>
      </c>
      <c r="M72" s="105" t="e">
        <f>VLOOKUP(K72,Species!$A$2:$D$2230,3,FALSE)</f>
        <v>#N/A</v>
      </c>
      <c r="N72" s="105" t="e">
        <f>VLOOKUP(K72,Species!$A$2:$D$2230,4,FALSE)</f>
        <v>#N/A</v>
      </c>
      <c r="O72" s="10"/>
      <c r="P72" s="10"/>
      <c r="Q72" s="101"/>
      <c r="R72" s="99"/>
      <c r="S72" s="99"/>
      <c r="T72" s="102"/>
      <c r="U72" s="102"/>
      <c r="V72" s="102"/>
      <c r="W72" s="102"/>
      <c r="X72" s="99"/>
      <c r="Y72" s="99"/>
      <c r="Z72" s="99"/>
      <c r="AA72" s="99"/>
      <c r="AB72" s="99"/>
      <c r="AC72" s="10"/>
      <c r="AD72" s="99"/>
      <c r="AE72" s="103"/>
      <c r="AF72" s="16"/>
    </row>
    <row r="73" spans="1:32" x14ac:dyDescent="0.25">
      <c r="A73" s="10"/>
      <c r="B73" s="10"/>
      <c r="C73" s="53"/>
      <c r="D73" s="10"/>
      <c r="E73" s="10"/>
      <c r="F73" s="99"/>
      <c r="G73" s="10"/>
      <c r="H73" s="10"/>
      <c r="I73" s="100"/>
      <c r="J73" s="10"/>
      <c r="K73" s="99"/>
      <c r="L73" s="105" t="e">
        <f>VLOOKUP(K73,Species!$A$2:$D$2230,2,FALSE)</f>
        <v>#N/A</v>
      </c>
      <c r="M73" s="105" t="e">
        <f>VLOOKUP(K73,Species!$A$2:$D$2230,3,FALSE)</f>
        <v>#N/A</v>
      </c>
      <c r="N73" s="105" t="e">
        <f>VLOOKUP(K73,Species!$A$2:$D$2230,4,FALSE)</f>
        <v>#N/A</v>
      </c>
      <c r="O73" s="10"/>
      <c r="P73" s="10"/>
      <c r="Q73" s="101"/>
      <c r="R73" s="99"/>
      <c r="S73" s="99"/>
      <c r="T73" s="102"/>
      <c r="U73" s="102"/>
      <c r="V73" s="102"/>
      <c r="W73" s="102"/>
      <c r="X73" s="99"/>
      <c r="Y73" s="99"/>
      <c r="Z73" s="99"/>
      <c r="AA73" s="99"/>
      <c r="AB73" s="99"/>
      <c r="AC73" s="10"/>
      <c r="AD73" s="99"/>
      <c r="AE73" s="103"/>
      <c r="AF73" s="16"/>
    </row>
    <row r="74" spans="1:32" x14ac:dyDescent="0.25">
      <c r="A74" s="10"/>
      <c r="B74" s="10"/>
      <c r="C74" s="53"/>
      <c r="D74" s="10"/>
      <c r="E74" s="10"/>
      <c r="F74" s="99"/>
      <c r="G74" s="10"/>
      <c r="H74" s="10"/>
      <c r="I74" s="100"/>
      <c r="J74" s="10"/>
      <c r="K74" s="99"/>
      <c r="L74" s="105" t="e">
        <f>VLOOKUP(K74,Species!$A$2:$D$2230,2,FALSE)</f>
        <v>#N/A</v>
      </c>
      <c r="M74" s="105" t="e">
        <f>VLOOKUP(K74,Species!$A$2:$D$2230,3,FALSE)</f>
        <v>#N/A</v>
      </c>
      <c r="N74" s="105" t="e">
        <f>VLOOKUP(K74,Species!$A$2:$D$2230,4,FALSE)</f>
        <v>#N/A</v>
      </c>
      <c r="O74" s="10"/>
      <c r="P74" s="10"/>
      <c r="Q74" s="101"/>
      <c r="R74" s="99"/>
      <c r="S74" s="99"/>
      <c r="T74" s="102"/>
      <c r="U74" s="102"/>
      <c r="V74" s="102"/>
      <c r="W74" s="102"/>
      <c r="X74" s="99"/>
      <c r="Y74" s="99"/>
      <c r="Z74" s="99"/>
      <c r="AA74" s="99"/>
      <c r="AB74" s="99"/>
      <c r="AC74" s="10"/>
      <c r="AD74" s="99"/>
      <c r="AE74" s="103"/>
      <c r="AF74" s="16"/>
    </row>
    <row r="75" spans="1:32" x14ac:dyDescent="0.25">
      <c r="A75" s="54"/>
      <c r="B75" s="54"/>
      <c r="C75" s="53"/>
      <c r="D75" s="54"/>
      <c r="E75" s="54"/>
      <c r="F75" s="99"/>
      <c r="G75" s="54"/>
      <c r="H75" s="54"/>
      <c r="I75" s="100"/>
      <c r="J75" s="54"/>
      <c r="K75" s="99"/>
      <c r="L75" s="105" t="e">
        <f>VLOOKUP(K75,Species!$A$2:$D$2230,2,FALSE)</f>
        <v>#N/A</v>
      </c>
      <c r="M75" s="105" t="e">
        <f>VLOOKUP(K75,Species!$A$2:$D$2230,3,FALSE)</f>
        <v>#N/A</v>
      </c>
      <c r="N75" s="105" t="e">
        <f>VLOOKUP(K75,Species!$A$2:$D$2230,4,FALSE)</f>
        <v>#N/A</v>
      </c>
      <c r="O75" s="54"/>
      <c r="P75" s="54"/>
      <c r="Q75" s="101"/>
      <c r="R75" s="99"/>
      <c r="S75" s="99"/>
      <c r="T75" s="102"/>
      <c r="U75" s="102"/>
      <c r="V75" s="102"/>
      <c r="W75" s="102"/>
      <c r="X75" s="102"/>
      <c r="Y75" s="102"/>
      <c r="Z75" s="102"/>
      <c r="AA75" s="102"/>
      <c r="AB75" s="102"/>
      <c r="AC75" s="54"/>
      <c r="AD75" s="102"/>
      <c r="AE75" s="104"/>
      <c r="AF75" s="16"/>
    </row>
    <row r="76" spans="1:32" x14ac:dyDescent="0.25">
      <c r="A76" s="10"/>
      <c r="B76" s="10"/>
      <c r="C76" s="53"/>
      <c r="D76" s="10"/>
      <c r="E76" s="10"/>
      <c r="F76" s="99"/>
      <c r="G76" s="10"/>
      <c r="H76" s="10"/>
      <c r="I76" s="100"/>
      <c r="J76" s="10"/>
      <c r="K76" s="99"/>
      <c r="L76" s="105" t="e">
        <f>VLOOKUP(K76,Species!$A$2:$D$2230,2,FALSE)</f>
        <v>#N/A</v>
      </c>
      <c r="M76" s="105" t="e">
        <f>VLOOKUP(K76,Species!$A$2:$D$2230,3,FALSE)</f>
        <v>#N/A</v>
      </c>
      <c r="N76" s="105" t="e">
        <f>VLOOKUP(K76,Species!$A$2:$D$2230,4,FALSE)</f>
        <v>#N/A</v>
      </c>
      <c r="O76" s="10"/>
      <c r="P76" s="10"/>
      <c r="Q76" s="101"/>
      <c r="R76" s="99"/>
      <c r="S76" s="99"/>
      <c r="T76" s="102"/>
      <c r="U76" s="102"/>
      <c r="V76" s="102"/>
      <c r="W76" s="102"/>
      <c r="X76" s="99"/>
      <c r="Y76" s="99"/>
      <c r="Z76" s="99"/>
      <c r="AA76" s="99"/>
      <c r="AB76" s="99"/>
      <c r="AC76" s="10"/>
      <c r="AD76" s="99"/>
      <c r="AE76" s="103"/>
      <c r="AF76" s="16"/>
    </row>
    <row r="77" spans="1:32" x14ac:dyDescent="0.25">
      <c r="A77" s="10"/>
      <c r="B77" s="10"/>
      <c r="C77" s="53"/>
      <c r="D77" s="10"/>
      <c r="E77" s="10"/>
      <c r="F77" s="99"/>
      <c r="G77" s="10"/>
      <c r="H77" s="10"/>
      <c r="I77" s="100"/>
      <c r="J77" s="10"/>
      <c r="K77" s="99"/>
      <c r="L77" s="105" t="e">
        <f>VLOOKUP(K77,Species!$A$2:$D$2230,2,FALSE)</f>
        <v>#N/A</v>
      </c>
      <c r="M77" s="105" t="e">
        <f>VLOOKUP(K77,Species!$A$2:$D$2230,3,FALSE)</f>
        <v>#N/A</v>
      </c>
      <c r="N77" s="105" t="e">
        <f>VLOOKUP(K77,Species!$A$2:$D$2230,4,FALSE)</f>
        <v>#N/A</v>
      </c>
      <c r="O77" s="10"/>
      <c r="P77" s="10"/>
      <c r="Q77" s="101"/>
      <c r="R77" s="99"/>
      <c r="S77" s="99"/>
      <c r="T77" s="102"/>
      <c r="U77" s="102"/>
      <c r="V77" s="102"/>
      <c r="W77" s="102"/>
      <c r="X77" s="99"/>
      <c r="Y77" s="99"/>
      <c r="Z77" s="99"/>
      <c r="AA77" s="99"/>
      <c r="AB77" s="99"/>
      <c r="AC77" s="10"/>
      <c r="AD77" s="99"/>
      <c r="AE77" s="103"/>
      <c r="AF77" s="16"/>
    </row>
    <row r="78" spans="1:32" x14ac:dyDescent="0.25">
      <c r="A78" s="10"/>
      <c r="B78" s="10"/>
      <c r="C78" s="53"/>
      <c r="D78" s="10"/>
      <c r="E78" s="10"/>
      <c r="F78" s="99"/>
      <c r="G78" s="10"/>
      <c r="H78" s="10"/>
      <c r="I78" s="100"/>
      <c r="J78" s="10"/>
      <c r="K78" s="99"/>
      <c r="L78" s="105" t="e">
        <f>VLOOKUP(K78,Species!$A$2:$D$2230,2,FALSE)</f>
        <v>#N/A</v>
      </c>
      <c r="M78" s="105" t="e">
        <f>VLOOKUP(K78,Species!$A$2:$D$2230,3,FALSE)</f>
        <v>#N/A</v>
      </c>
      <c r="N78" s="105" t="e">
        <f>VLOOKUP(K78,Species!$A$2:$D$2230,4,FALSE)</f>
        <v>#N/A</v>
      </c>
      <c r="O78" s="10"/>
      <c r="P78" s="10"/>
      <c r="Q78" s="101"/>
      <c r="R78" s="99"/>
      <c r="S78" s="99"/>
      <c r="T78" s="102"/>
      <c r="U78" s="102"/>
      <c r="V78" s="102"/>
      <c r="W78" s="102"/>
      <c r="X78" s="99"/>
      <c r="Y78" s="99"/>
      <c r="Z78" s="99"/>
      <c r="AA78" s="99"/>
      <c r="AB78" s="99"/>
      <c r="AC78" s="10"/>
      <c r="AD78" s="99"/>
      <c r="AE78" s="103"/>
      <c r="AF78" s="16"/>
    </row>
    <row r="79" spans="1:32" x14ac:dyDescent="0.25">
      <c r="A79" s="10"/>
      <c r="B79" s="10"/>
      <c r="C79" s="53"/>
      <c r="D79" s="10"/>
      <c r="E79" s="10"/>
      <c r="F79" s="99"/>
      <c r="G79" s="10"/>
      <c r="H79" s="10"/>
      <c r="I79" s="100"/>
      <c r="J79" s="10"/>
      <c r="K79" s="99"/>
      <c r="L79" s="105" t="e">
        <f>VLOOKUP(K79,Species!$A$2:$D$2230,2,FALSE)</f>
        <v>#N/A</v>
      </c>
      <c r="M79" s="105" t="e">
        <f>VLOOKUP(K79,Species!$A$2:$D$2230,3,FALSE)</f>
        <v>#N/A</v>
      </c>
      <c r="N79" s="105" t="e">
        <f>VLOOKUP(K79,Species!$A$2:$D$2230,4,FALSE)</f>
        <v>#N/A</v>
      </c>
      <c r="O79" s="10"/>
      <c r="P79" s="10"/>
      <c r="Q79" s="101"/>
      <c r="R79" s="99"/>
      <c r="S79" s="99"/>
      <c r="T79" s="102"/>
      <c r="U79" s="102"/>
      <c r="V79" s="102"/>
      <c r="W79" s="102"/>
      <c r="X79" s="99"/>
      <c r="Y79" s="99"/>
      <c r="Z79" s="99"/>
      <c r="AA79" s="99"/>
      <c r="AB79" s="99"/>
      <c r="AC79" s="10"/>
      <c r="AD79" s="99"/>
      <c r="AE79" s="103"/>
      <c r="AF79" s="16"/>
    </row>
    <row r="80" spans="1:32" x14ac:dyDescent="0.25">
      <c r="A80" s="10"/>
      <c r="B80" s="10"/>
      <c r="C80" s="53"/>
      <c r="D80" s="10"/>
      <c r="E80" s="10"/>
      <c r="F80" s="99"/>
      <c r="G80" s="10"/>
      <c r="H80" s="10"/>
      <c r="I80" s="100"/>
      <c r="J80" s="10"/>
      <c r="K80" s="99"/>
      <c r="L80" s="105" t="e">
        <f>VLOOKUP(K80,Species!$A$2:$D$2230,2,FALSE)</f>
        <v>#N/A</v>
      </c>
      <c r="M80" s="105" t="e">
        <f>VLOOKUP(K80,Species!$A$2:$D$2230,3,FALSE)</f>
        <v>#N/A</v>
      </c>
      <c r="N80" s="105" t="e">
        <f>VLOOKUP(K80,Species!$A$2:$D$2230,4,FALSE)</f>
        <v>#N/A</v>
      </c>
      <c r="O80" s="10"/>
      <c r="P80" s="10"/>
      <c r="Q80" s="101"/>
      <c r="R80" s="99"/>
      <c r="S80" s="99"/>
      <c r="T80" s="102"/>
      <c r="U80" s="102"/>
      <c r="V80" s="102"/>
      <c r="W80" s="102"/>
      <c r="X80" s="99"/>
      <c r="Y80" s="99"/>
      <c r="Z80" s="99"/>
      <c r="AA80" s="99"/>
      <c r="AB80" s="99"/>
      <c r="AC80" s="10"/>
      <c r="AD80" s="99"/>
      <c r="AE80" s="103"/>
      <c r="AF80" s="16"/>
    </row>
    <row r="81" spans="1:32" x14ac:dyDescent="0.25">
      <c r="A81" s="10"/>
      <c r="B81" s="10"/>
      <c r="C81" s="53"/>
      <c r="D81" s="10"/>
      <c r="E81" s="10"/>
      <c r="F81" s="99"/>
      <c r="G81" s="10"/>
      <c r="H81" s="10"/>
      <c r="I81" s="100"/>
      <c r="J81" s="10"/>
      <c r="K81" s="99"/>
      <c r="L81" s="105" t="e">
        <f>VLOOKUP(K81,Species!$A$2:$D$2230,2,FALSE)</f>
        <v>#N/A</v>
      </c>
      <c r="M81" s="105" t="e">
        <f>VLOOKUP(K81,Species!$A$2:$D$2230,3,FALSE)</f>
        <v>#N/A</v>
      </c>
      <c r="N81" s="105" t="e">
        <f>VLOOKUP(K81,Species!$A$2:$D$2230,4,FALSE)</f>
        <v>#N/A</v>
      </c>
      <c r="O81" s="10"/>
      <c r="P81" s="10"/>
      <c r="Q81" s="101"/>
      <c r="R81" s="99"/>
      <c r="S81" s="99"/>
      <c r="T81" s="102"/>
      <c r="U81" s="102"/>
      <c r="V81" s="102"/>
      <c r="W81" s="102"/>
      <c r="X81" s="99"/>
      <c r="Y81" s="99"/>
      <c r="Z81" s="99"/>
      <c r="AA81" s="99"/>
      <c r="AB81" s="99"/>
      <c r="AC81" s="10"/>
      <c r="AD81" s="99"/>
      <c r="AE81" s="103"/>
      <c r="AF81" s="16"/>
    </row>
    <row r="82" spans="1:32" x14ac:dyDescent="0.25">
      <c r="A82" s="10"/>
      <c r="B82" s="10"/>
      <c r="C82" s="53"/>
      <c r="D82" s="10"/>
      <c r="E82" s="10"/>
      <c r="F82" s="99"/>
      <c r="G82" s="10"/>
      <c r="H82" s="10"/>
      <c r="I82" s="100"/>
      <c r="J82" s="10"/>
      <c r="K82" s="99"/>
      <c r="L82" s="105" t="e">
        <f>VLOOKUP(K82,Species!$A$2:$D$2230,2,FALSE)</f>
        <v>#N/A</v>
      </c>
      <c r="M82" s="105" t="e">
        <f>VLOOKUP(K82,Species!$A$2:$D$2230,3,FALSE)</f>
        <v>#N/A</v>
      </c>
      <c r="N82" s="105" t="e">
        <f>VLOOKUP(K82,Species!$A$2:$D$2230,4,FALSE)</f>
        <v>#N/A</v>
      </c>
      <c r="O82" s="10"/>
      <c r="P82" s="10"/>
      <c r="Q82" s="101"/>
      <c r="R82" s="99"/>
      <c r="S82" s="99"/>
      <c r="T82" s="102"/>
      <c r="U82" s="102"/>
      <c r="V82" s="102"/>
      <c r="W82" s="102"/>
      <c r="X82" s="99"/>
      <c r="Y82" s="99"/>
      <c r="Z82" s="99"/>
      <c r="AA82" s="99"/>
      <c r="AB82" s="99"/>
      <c r="AC82" s="10"/>
      <c r="AD82" s="99"/>
      <c r="AE82" s="103"/>
      <c r="AF82" s="16"/>
    </row>
    <row r="83" spans="1:32" x14ac:dyDescent="0.25">
      <c r="A83" s="10"/>
      <c r="B83" s="10"/>
      <c r="C83" s="53"/>
      <c r="D83" s="10"/>
      <c r="E83" s="10"/>
      <c r="F83" s="99"/>
      <c r="G83" s="10"/>
      <c r="H83" s="10"/>
      <c r="I83" s="100"/>
      <c r="J83" s="10"/>
      <c r="K83" s="99"/>
      <c r="L83" s="105" t="e">
        <f>VLOOKUP(K83,Species!$A$2:$D$2230,2,FALSE)</f>
        <v>#N/A</v>
      </c>
      <c r="M83" s="105" t="e">
        <f>VLOOKUP(K83,Species!$A$2:$D$2230,3,FALSE)</f>
        <v>#N/A</v>
      </c>
      <c r="N83" s="105" t="e">
        <f>VLOOKUP(K83,Species!$A$2:$D$2230,4,FALSE)</f>
        <v>#N/A</v>
      </c>
      <c r="O83" s="10"/>
      <c r="P83" s="10"/>
      <c r="Q83" s="101"/>
      <c r="R83" s="99"/>
      <c r="S83" s="99"/>
      <c r="T83" s="102"/>
      <c r="U83" s="102"/>
      <c r="V83" s="102"/>
      <c r="W83" s="102"/>
      <c r="X83" s="99"/>
      <c r="Y83" s="99"/>
      <c r="Z83" s="99"/>
      <c r="AA83" s="99"/>
      <c r="AB83" s="99"/>
      <c r="AC83" s="10"/>
      <c r="AD83" s="99"/>
      <c r="AE83" s="103"/>
      <c r="AF83" s="16"/>
    </row>
    <row r="84" spans="1:32" x14ac:dyDescent="0.25">
      <c r="A84" s="54"/>
      <c r="B84" s="54"/>
      <c r="C84" s="53"/>
      <c r="D84" s="54"/>
      <c r="E84" s="54"/>
      <c r="F84" s="99"/>
      <c r="G84" s="54"/>
      <c r="H84" s="54"/>
      <c r="I84" s="100"/>
      <c r="J84" s="54"/>
      <c r="K84" s="99"/>
      <c r="L84" s="105" t="e">
        <f>VLOOKUP(K84,Species!$A$2:$D$2230,2,FALSE)</f>
        <v>#N/A</v>
      </c>
      <c r="M84" s="105" t="e">
        <f>VLOOKUP(K84,Species!$A$2:$D$2230,3,FALSE)</f>
        <v>#N/A</v>
      </c>
      <c r="N84" s="105" t="e">
        <f>VLOOKUP(K84,Species!$A$2:$D$2230,4,FALSE)</f>
        <v>#N/A</v>
      </c>
      <c r="O84" s="54"/>
      <c r="P84" s="54"/>
      <c r="Q84" s="101"/>
      <c r="R84" s="99"/>
      <c r="S84" s="99"/>
      <c r="T84" s="102"/>
      <c r="U84" s="102"/>
      <c r="V84" s="102"/>
      <c r="W84" s="102"/>
      <c r="X84" s="102"/>
      <c r="Y84" s="102"/>
      <c r="Z84" s="102"/>
      <c r="AA84" s="102"/>
      <c r="AB84" s="102"/>
      <c r="AC84" s="54"/>
      <c r="AD84" s="102"/>
      <c r="AE84" s="104"/>
      <c r="AF84" s="16"/>
    </row>
    <row r="85" spans="1:32" x14ac:dyDescent="0.25">
      <c r="A85" s="10"/>
      <c r="B85" s="10"/>
      <c r="C85" s="53"/>
      <c r="D85" s="10"/>
      <c r="E85" s="10"/>
      <c r="F85" s="99"/>
      <c r="G85" s="10"/>
      <c r="H85" s="10"/>
      <c r="I85" s="100"/>
      <c r="J85" s="10"/>
      <c r="K85" s="99"/>
      <c r="L85" s="105" t="e">
        <f>VLOOKUP(K85,Species!$A$2:$D$2230,2,FALSE)</f>
        <v>#N/A</v>
      </c>
      <c r="M85" s="105" t="e">
        <f>VLOOKUP(K85,Species!$A$2:$D$2230,3,FALSE)</f>
        <v>#N/A</v>
      </c>
      <c r="N85" s="105" t="e">
        <f>VLOOKUP(K85,Species!$A$2:$D$2230,4,FALSE)</f>
        <v>#N/A</v>
      </c>
      <c r="O85" s="10"/>
      <c r="P85" s="10"/>
      <c r="Q85" s="101"/>
      <c r="R85" s="99"/>
      <c r="S85" s="99"/>
      <c r="T85" s="102"/>
      <c r="U85" s="102"/>
      <c r="V85" s="102"/>
      <c r="W85" s="102"/>
      <c r="X85" s="99"/>
      <c r="Y85" s="99"/>
      <c r="Z85" s="99"/>
      <c r="AA85" s="99"/>
      <c r="AB85" s="99"/>
      <c r="AC85" s="10"/>
      <c r="AD85" s="99"/>
      <c r="AE85" s="103"/>
      <c r="AF85" s="16"/>
    </row>
    <row r="86" spans="1:32" x14ac:dyDescent="0.25">
      <c r="A86" s="10"/>
      <c r="B86" s="10"/>
      <c r="C86" s="53"/>
      <c r="D86" s="10"/>
      <c r="E86" s="10"/>
      <c r="F86" s="99"/>
      <c r="G86" s="10"/>
      <c r="H86" s="10"/>
      <c r="I86" s="100"/>
      <c r="J86" s="10"/>
      <c r="K86" s="99"/>
      <c r="L86" s="105" t="e">
        <f>VLOOKUP(K86,Species!$A$2:$D$2230,2,FALSE)</f>
        <v>#N/A</v>
      </c>
      <c r="M86" s="105" t="e">
        <f>VLOOKUP(K86,Species!$A$2:$D$2230,3,FALSE)</f>
        <v>#N/A</v>
      </c>
      <c r="N86" s="105" t="e">
        <f>VLOOKUP(K86,Species!$A$2:$D$2230,4,FALSE)</f>
        <v>#N/A</v>
      </c>
      <c r="O86" s="10"/>
      <c r="P86" s="10"/>
      <c r="Q86" s="101"/>
      <c r="R86" s="99"/>
      <c r="S86" s="99"/>
      <c r="T86" s="102"/>
      <c r="U86" s="102"/>
      <c r="V86" s="102"/>
      <c r="W86" s="102"/>
      <c r="X86" s="99"/>
      <c r="Y86" s="99"/>
      <c r="Z86" s="99"/>
      <c r="AA86" s="99"/>
      <c r="AB86" s="99"/>
      <c r="AC86" s="10"/>
      <c r="AD86" s="99"/>
      <c r="AE86" s="103"/>
      <c r="AF86" s="16"/>
    </row>
    <row r="87" spans="1:32" x14ac:dyDescent="0.25">
      <c r="A87" s="10"/>
      <c r="B87" s="10"/>
      <c r="C87" s="53"/>
      <c r="D87" s="10"/>
      <c r="E87" s="10"/>
      <c r="F87" s="99"/>
      <c r="G87" s="10"/>
      <c r="H87" s="10"/>
      <c r="I87" s="100"/>
      <c r="J87" s="10"/>
      <c r="K87" s="99"/>
      <c r="L87" s="105" t="e">
        <f>VLOOKUP(K87,Species!$A$2:$D$2230,2,FALSE)</f>
        <v>#N/A</v>
      </c>
      <c r="M87" s="105" t="e">
        <f>VLOOKUP(K87,Species!$A$2:$D$2230,3,FALSE)</f>
        <v>#N/A</v>
      </c>
      <c r="N87" s="105" t="e">
        <f>VLOOKUP(K87,Species!$A$2:$D$2230,4,FALSE)</f>
        <v>#N/A</v>
      </c>
      <c r="O87" s="10"/>
      <c r="P87" s="10"/>
      <c r="Q87" s="101"/>
      <c r="R87" s="99"/>
      <c r="S87" s="99"/>
      <c r="T87" s="102"/>
      <c r="U87" s="102"/>
      <c r="V87" s="102"/>
      <c r="W87" s="102"/>
      <c r="X87" s="99"/>
      <c r="Y87" s="99"/>
      <c r="Z87" s="99"/>
      <c r="AA87" s="99"/>
      <c r="AB87" s="99"/>
      <c r="AC87" s="10"/>
      <c r="AD87" s="99"/>
      <c r="AE87" s="103"/>
      <c r="AF87" s="16"/>
    </row>
    <row r="88" spans="1:32" x14ac:dyDescent="0.25">
      <c r="A88" s="10"/>
      <c r="B88" s="10"/>
      <c r="C88" s="53"/>
      <c r="D88" s="10"/>
      <c r="E88" s="10"/>
      <c r="F88" s="99"/>
      <c r="G88" s="10"/>
      <c r="H88" s="10"/>
      <c r="I88" s="100"/>
      <c r="J88" s="10"/>
      <c r="K88" s="99"/>
      <c r="L88" s="105" t="e">
        <f>VLOOKUP(K88,Species!$A$2:$D$2230,2,FALSE)</f>
        <v>#N/A</v>
      </c>
      <c r="M88" s="105" t="e">
        <f>VLOOKUP(K88,Species!$A$2:$D$2230,3,FALSE)</f>
        <v>#N/A</v>
      </c>
      <c r="N88" s="105" t="e">
        <f>VLOOKUP(K88,Species!$A$2:$D$2230,4,FALSE)</f>
        <v>#N/A</v>
      </c>
      <c r="O88" s="10"/>
      <c r="P88" s="10"/>
      <c r="Q88" s="101"/>
      <c r="R88" s="99"/>
      <c r="S88" s="99"/>
      <c r="T88" s="102"/>
      <c r="U88" s="102"/>
      <c r="V88" s="102"/>
      <c r="W88" s="102"/>
      <c r="X88" s="99"/>
      <c r="Y88" s="99"/>
      <c r="Z88" s="99"/>
      <c r="AA88" s="99"/>
      <c r="AB88" s="99"/>
      <c r="AC88" s="10"/>
      <c r="AD88" s="99"/>
      <c r="AE88" s="103"/>
      <c r="AF88" s="16"/>
    </row>
    <row r="89" spans="1:32" x14ac:dyDescent="0.25">
      <c r="A89" s="10"/>
      <c r="B89" s="10"/>
      <c r="C89" s="53"/>
      <c r="D89" s="10"/>
      <c r="E89" s="10"/>
      <c r="F89" s="99"/>
      <c r="G89" s="10"/>
      <c r="H89" s="10"/>
      <c r="I89" s="100"/>
      <c r="J89" s="10"/>
      <c r="K89" s="99"/>
      <c r="L89" s="105" t="e">
        <f>VLOOKUP(K89,Species!$A$2:$D$2230,2,FALSE)</f>
        <v>#N/A</v>
      </c>
      <c r="M89" s="105" t="e">
        <f>VLOOKUP(K89,Species!$A$2:$D$2230,3,FALSE)</f>
        <v>#N/A</v>
      </c>
      <c r="N89" s="105" t="e">
        <f>VLOOKUP(K89,Species!$A$2:$D$2230,4,FALSE)</f>
        <v>#N/A</v>
      </c>
      <c r="O89" s="10"/>
      <c r="P89" s="10"/>
      <c r="Q89" s="101"/>
      <c r="R89" s="99"/>
      <c r="S89" s="99"/>
      <c r="T89" s="102"/>
      <c r="U89" s="102"/>
      <c r="V89" s="102"/>
      <c r="W89" s="102"/>
      <c r="X89" s="99"/>
      <c r="Y89" s="99"/>
      <c r="Z89" s="99"/>
      <c r="AA89" s="99"/>
      <c r="AB89" s="99"/>
      <c r="AC89" s="10"/>
      <c r="AD89" s="99"/>
      <c r="AE89" s="103"/>
      <c r="AF89" s="16"/>
    </row>
    <row r="90" spans="1:32" x14ac:dyDescent="0.25">
      <c r="A90" s="10"/>
      <c r="B90" s="10"/>
      <c r="C90" s="53"/>
      <c r="D90" s="10"/>
      <c r="E90" s="10"/>
      <c r="F90" s="99"/>
      <c r="G90" s="10"/>
      <c r="H90" s="10"/>
      <c r="I90" s="100"/>
      <c r="J90" s="10"/>
      <c r="K90" s="99"/>
      <c r="L90" s="105" t="e">
        <f>VLOOKUP(K90,Species!$A$2:$D$2230,2,FALSE)</f>
        <v>#N/A</v>
      </c>
      <c r="M90" s="105" t="e">
        <f>VLOOKUP(K90,Species!$A$2:$D$2230,3,FALSE)</f>
        <v>#N/A</v>
      </c>
      <c r="N90" s="105" t="e">
        <f>VLOOKUP(K90,Species!$A$2:$D$2230,4,FALSE)</f>
        <v>#N/A</v>
      </c>
      <c r="O90" s="10"/>
      <c r="P90" s="10"/>
      <c r="Q90" s="101"/>
      <c r="R90" s="99"/>
      <c r="S90" s="99"/>
      <c r="T90" s="102"/>
      <c r="U90" s="102"/>
      <c r="V90" s="102"/>
      <c r="W90" s="102"/>
      <c r="X90" s="99"/>
      <c r="Y90" s="99"/>
      <c r="Z90" s="99"/>
      <c r="AA90" s="99"/>
      <c r="AB90" s="99"/>
      <c r="AC90" s="10"/>
      <c r="AD90" s="99"/>
      <c r="AE90" s="103"/>
      <c r="AF90" s="16"/>
    </row>
    <row r="91" spans="1:32" x14ac:dyDescent="0.25">
      <c r="A91" s="10"/>
      <c r="B91" s="10"/>
      <c r="C91" s="53"/>
      <c r="D91" s="10"/>
      <c r="E91" s="10"/>
      <c r="F91" s="99"/>
      <c r="G91" s="10"/>
      <c r="H91" s="10"/>
      <c r="I91" s="100"/>
      <c r="J91" s="10"/>
      <c r="K91" s="99"/>
      <c r="L91" s="105" t="e">
        <f>VLOOKUP(K91,Species!$A$2:$D$2230,2,FALSE)</f>
        <v>#N/A</v>
      </c>
      <c r="M91" s="105" t="e">
        <f>VLOOKUP(K91,Species!$A$2:$D$2230,3,FALSE)</f>
        <v>#N/A</v>
      </c>
      <c r="N91" s="105" t="e">
        <f>VLOOKUP(K91,Species!$A$2:$D$2230,4,FALSE)</f>
        <v>#N/A</v>
      </c>
      <c r="O91" s="10"/>
      <c r="P91" s="10"/>
      <c r="Q91" s="101"/>
      <c r="R91" s="99"/>
      <c r="S91" s="99"/>
      <c r="T91" s="102"/>
      <c r="U91" s="102"/>
      <c r="V91" s="102"/>
      <c r="W91" s="102"/>
      <c r="X91" s="99"/>
      <c r="Y91" s="99"/>
      <c r="Z91" s="99"/>
      <c r="AA91" s="99"/>
      <c r="AB91" s="99"/>
      <c r="AC91" s="10"/>
      <c r="AD91" s="99"/>
      <c r="AE91" s="103"/>
      <c r="AF91" s="16"/>
    </row>
    <row r="92" spans="1:32" x14ac:dyDescent="0.25">
      <c r="A92" s="10"/>
      <c r="B92" s="10"/>
      <c r="C92" s="53"/>
      <c r="D92" s="10"/>
      <c r="E92" s="10"/>
      <c r="F92" s="99"/>
      <c r="G92" s="10"/>
      <c r="H92" s="10"/>
      <c r="I92" s="100"/>
      <c r="J92" s="10"/>
      <c r="K92" s="99"/>
      <c r="L92" s="105" t="e">
        <f>VLOOKUP(K92,Species!$A$2:$D$2230,2,FALSE)</f>
        <v>#N/A</v>
      </c>
      <c r="M92" s="105" t="e">
        <f>VLOOKUP(K92,Species!$A$2:$D$2230,3,FALSE)</f>
        <v>#N/A</v>
      </c>
      <c r="N92" s="105" t="e">
        <f>VLOOKUP(K92,Species!$A$2:$D$2230,4,FALSE)</f>
        <v>#N/A</v>
      </c>
      <c r="O92" s="10"/>
      <c r="P92" s="10"/>
      <c r="Q92" s="101"/>
      <c r="R92" s="99"/>
      <c r="S92" s="99"/>
      <c r="T92" s="102"/>
      <c r="U92" s="102"/>
      <c r="V92" s="102"/>
      <c r="W92" s="102"/>
      <c r="X92" s="99"/>
      <c r="Y92" s="99"/>
      <c r="Z92" s="99"/>
      <c r="AA92" s="99"/>
      <c r="AB92" s="99"/>
      <c r="AC92" s="10"/>
      <c r="AD92" s="99"/>
      <c r="AE92" s="103"/>
      <c r="AF92" s="16"/>
    </row>
    <row r="93" spans="1:32" x14ac:dyDescent="0.25">
      <c r="A93" s="54"/>
      <c r="B93" s="54"/>
      <c r="C93" s="53"/>
      <c r="D93" s="54"/>
      <c r="E93" s="54"/>
      <c r="F93" s="99"/>
      <c r="G93" s="54"/>
      <c r="H93" s="54"/>
      <c r="I93" s="100"/>
      <c r="J93" s="54"/>
      <c r="K93" s="99"/>
      <c r="L93" s="105" t="e">
        <f>VLOOKUP(K93,Species!$A$2:$D$2230,2,FALSE)</f>
        <v>#N/A</v>
      </c>
      <c r="M93" s="105" t="e">
        <f>VLOOKUP(K93,Species!$A$2:$D$2230,3,FALSE)</f>
        <v>#N/A</v>
      </c>
      <c r="N93" s="105" t="e">
        <f>VLOOKUP(K93,Species!$A$2:$D$2230,4,FALSE)</f>
        <v>#N/A</v>
      </c>
      <c r="O93" s="54"/>
      <c r="P93" s="54"/>
      <c r="Q93" s="101"/>
      <c r="R93" s="99"/>
      <c r="S93" s="99"/>
      <c r="T93" s="102"/>
      <c r="U93" s="102"/>
      <c r="V93" s="102"/>
      <c r="W93" s="102"/>
      <c r="X93" s="102"/>
      <c r="Y93" s="102"/>
      <c r="Z93" s="102"/>
      <c r="AA93" s="102"/>
      <c r="AB93" s="102"/>
      <c r="AC93" s="54"/>
      <c r="AD93" s="102"/>
      <c r="AE93" s="104"/>
      <c r="AF93" s="16"/>
    </row>
    <row r="94" spans="1:32" x14ac:dyDescent="0.25">
      <c r="A94" s="10"/>
      <c r="B94" s="10"/>
      <c r="C94" s="53"/>
      <c r="D94" s="10"/>
      <c r="E94" s="10"/>
      <c r="F94" s="99"/>
      <c r="G94" s="10"/>
      <c r="H94" s="10"/>
      <c r="I94" s="100"/>
      <c r="J94" s="10"/>
      <c r="K94" s="99"/>
      <c r="L94" s="105" t="e">
        <f>VLOOKUP(K94,Species!$A$2:$D$2230,2,FALSE)</f>
        <v>#N/A</v>
      </c>
      <c r="M94" s="105" t="e">
        <f>VLOOKUP(K94,Species!$A$2:$D$2230,3,FALSE)</f>
        <v>#N/A</v>
      </c>
      <c r="N94" s="105" t="e">
        <f>VLOOKUP(K94,Species!$A$2:$D$2230,4,FALSE)</f>
        <v>#N/A</v>
      </c>
      <c r="O94" s="10"/>
      <c r="P94" s="10"/>
      <c r="Q94" s="101"/>
      <c r="R94" s="99"/>
      <c r="S94" s="99"/>
      <c r="T94" s="102"/>
      <c r="U94" s="102"/>
      <c r="V94" s="102"/>
      <c r="W94" s="102"/>
      <c r="X94" s="99"/>
      <c r="Y94" s="99"/>
      <c r="Z94" s="99"/>
      <c r="AA94" s="99"/>
      <c r="AB94" s="99"/>
      <c r="AC94" s="10"/>
      <c r="AD94" s="99"/>
      <c r="AE94" s="103"/>
      <c r="AF94" s="16"/>
    </row>
    <row r="95" spans="1:32" x14ac:dyDescent="0.25">
      <c r="A95" s="10"/>
      <c r="B95" s="10"/>
      <c r="C95" s="53"/>
      <c r="D95" s="10"/>
      <c r="E95" s="10"/>
      <c r="F95" s="99"/>
      <c r="G95" s="10"/>
      <c r="H95" s="10"/>
      <c r="I95" s="100"/>
      <c r="J95" s="10"/>
      <c r="K95" s="99"/>
      <c r="L95" s="105" t="e">
        <f>VLOOKUP(K95,Species!$A$2:$D$2230,2,FALSE)</f>
        <v>#N/A</v>
      </c>
      <c r="M95" s="105" t="e">
        <f>VLOOKUP(K95,Species!$A$2:$D$2230,3,FALSE)</f>
        <v>#N/A</v>
      </c>
      <c r="N95" s="105" t="e">
        <f>VLOOKUP(K95,Species!$A$2:$D$2230,4,FALSE)</f>
        <v>#N/A</v>
      </c>
      <c r="O95" s="10"/>
      <c r="P95" s="10"/>
      <c r="Q95" s="101"/>
      <c r="R95" s="99"/>
      <c r="S95" s="99"/>
      <c r="T95" s="102"/>
      <c r="U95" s="102"/>
      <c r="V95" s="102"/>
      <c r="W95" s="102"/>
      <c r="X95" s="99"/>
      <c r="Y95" s="99"/>
      <c r="Z95" s="99"/>
      <c r="AA95" s="99"/>
      <c r="AB95" s="99"/>
      <c r="AC95" s="10"/>
      <c r="AD95" s="99"/>
      <c r="AE95" s="103"/>
      <c r="AF95" s="16"/>
    </row>
    <row r="96" spans="1:32" x14ac:dyDescent="0.25">
      <c r="A96" s="10"/>
      <c r="B96" s="10"/>
      <c r="C96" s="53"/>
      <c r="D96" s="10"/>
      <c r="E96" s="10"/>
      <c r="F96" s="99"/>
      <c r="G96" s="10"/>
      <c r="H96" s="10"/>
      <c r="I96" s="100"/>
      <c r="J96" s="10"/>
      <c r="K96" s="99"/>
      <c r="L96" s="105" t="e">
        <f>VLOOKUP(K96,Species!$A$2:$D$2230,2,FALSE)</f>
        <v>#N/A</v>
      </c>
      <c r="M96" s="105" t="e">
        <f>VLOOKUP(K96,Species!$A$2:$D$2230,3,FALSE)</f>
        <v>#N/A</v>
      </c>
      <c r="N96" s="105" t="e">
        <f>VLOOKUP(K96,Species!$A$2:$D$2230,4,FALSE)</f>
        <v>#N/A</v>
      </c>
      <c r="O96" s="10"/>
      <c r="P96" s="10"/>
      <c r="Q96" s="101"/>
      <c r="R96" s="99"/>
      <c r="S96" s="99"/>
      <c r="T96" s="102"/>
      <c r="U96" s="102"/>
      <c r="V96" s="102"/>
      <c r="W96" s="102"/>
      <c r="X96" s="99"/>
      <c r="Y96" s="99"/>
      <c r="Z96" s="99"/>
      <c r="AA96" s="99"/>
      <c r="AB96" s="99"/>
      <c r="AC96" s="10"/>
      <c r="AD96" s="99"/>
      <c r="AE96" s="103"/>
      <c r="AF96" s="16"/>
    </row>
    <row r="97" spans="1:32" x14ac:dyDescent="0.25">
      <c r="A97" s="10"/>
      <c r="B97" s="10"/>
      <c r="C97" s="53"/>
      <c r="D97" s="10"/>
      <c r="E97" s="10"/>
      <c r="F97" s="99"/>
      <c r="G97" s="10"/>
      <c r="H97" s="10"/>
      <c r="I97" s="100"/>
      <c r="J97" s="10"/>
      <c r="K97" s="99"/>
      <c r="L97" s="105" t="e">
        <f>VLOOKUP(K97,Species!$A$2:$D$2230,2,FALSE)</f>
        <v>#N/A</v>
      </c>
      <c r="M97" s="105" t="e">
        <f>VLOOKUP(K97,Species!$A$2:$D$2230,3,FALSE)</f>
        <v>#N/A</v>
      </c>
      <c r="N97" s="105" t="e">
        <f>VLOOKUP(K97,Species!$A$2:$D$2230,4,FALSE)</f>
        <v>#N/A</v>
      </c>
      <c r="O97" s="10"/>
      <c r="P97" s="10"/>
      <c r="Q97" s="101"/>
      <c r="R97" s="99"/>
      <c r="S97" s="99"/>
      <c r="T97" s="102"/>
      <c r="U97" s="102"/>
      <c r="V97" s="102"/>
      <c r="W97" s="102"/>
      <c r="X97" s="99"/>
      <c r="Y97" s="99"/>
      <c r="Z97" s="99"/>
      <c r="AA97" s="99"/>
      <c r="AB97" s="99"/>
      <c r="AC97" s="10"/>
      <c r="AD97" s="99"/>
      <c r="AE97" s="103"/>
      <c r="AF97" s="16"/>
    </row>
    <row r="98" spans="1:32" x14ac:dyDescent="0.25">
      <c r="A98" s="10"/>
      <c r="B98" s="10"/>
      <c r="C98" s="53"/>
      <c r="D98" s="10"/>
      <c r="E98" s="10"/>
      <c r="F98" s="99"/>
      <c r="G98" s="10"/>
      <c r="H98" s="10"/>
      <c r="I98" s="100"/>
      <c r="J98" s="10"/>
      <c r="K98" s="99"/>
      <c r="L98" s="105" t="e">
        <f>VLOOKUP(K98,Species!$A$2:$D$2230,2,FALSE)</f>
        <v>#N/A</v>
      </c>
      <c r="M98" s="105" t="e">
        <f>VLOOKUP(K98,Species!$A$2:$D$2230,3,FALSE)</f>
        <v>#N/A</v>
      </c>
      <c r="N98" s="105" t="e">
        <f>VLOOKUP(K98,Species!$A$2:$D$2230,4,FALSE)</f>
        <v>#N/A</v>
      </c>
      <c r="O98" s="10"/>
      <c r="P98" s="10"/>
      <c r="Q98" s="101"/>
      <c r="R98" s="99"/>
      <c r="S98" s="99"/>
      <c r="T98" s="102"/>
      <c r="U98" s="102"/>
      <c r="V98" s="102"/>
      <c r="W98" s="102"/>
      <c r="X98" s="99"/>
      <c r="Y98" s="99"/>
      <c r="Z98" s="99"/>
      <c r="AA98" s="99"/>
      <c r="AB98" s="99"/>
      <c r="AC98" s="10"/>
      <c r="AD98" s="99"/>
      <c r="AE98" s="103"/>
      <c r="AF98" s="16"/>
    </row>
    <row r="99" spans="1:32" x14ac:dyDescent="0.25">
      <c r="A99" s="10"/>
      <c r="B99" s="10"/>
      <c r="C99" s="53"/>
      <c r="D99" s="10"/>
      <c r="E99" s="10"/>
      <c r="F99" s="99"/>
      <c r="G99" s="10"/>
      <c r="H99" s="10"/>
      <c r="I99" s="100"/>
      <c r="J99" s="10"/>
      <c r="K99" s="99"/>
      <c r="L99" s="105" t="e">
        <f>VLOOKUP(K99,Species!$A$2:$D$2230,2,FALSE)</f>
        <v>#N/A</v>
      </c>
      <c r="M99" s="105" t="e">
        <f>VLOOKUP(K99,Species!$A$2:$D$2230,3,FALSE)</f>
        <v>#N/A</v>
      </c>
      <c r="N99" s="105" t="e">
        <f>VLOOKUP(K99,Species!$A$2:$D$2230,4,FALSE)</f>
        <v>#N/A</v>
      </c>
      <c r="O99" s="10"/>
      <c r="P99" s="10"/>
      <c r="Q99" s="101"/>
      <c r="R99" s="99"/>
      <c r="S99" s="99"/>
      <c r="T99" s="102"/>
      <c r="U99" s="102"/>
      <c r="V99" s="102"/>
      <c r="W99" s="102"/>
      <c r="X99" s="99"/>
      <c r="Y99" s="99"/>
      <c r="Z99" s="99"/>
      <c r="AA99" s="99"/>
      <c r="AB99" s="99"/>
      <c r="AC99" s="10"/>
      <c r="AD99" s="99"/>
      <c r="AE99" s="103"/>
      <c r="AF99" s="16"/>
    </row>
    <row r="100" spans="1:32" x14ac:dyDescent="0.25">
      <c r="A100" s="10"/>
      <c r="B100" s="10"/>
      <c r="C100" s="53"/>
      <c r="D100" s="10"/>
      <c r="E100" s="10"/>
      <c r="F100" s="99"/>
      <c r="G100" s="10"/>
      <c r="H100" s="10"/>
      <c r="I100" s="100"/>
      <c r="J100" s="10"/>
      <c r="K100" s="99"/>
      <c r="L100" s="105" t="e">
        <f>VLOOKUP(K100,Species!$A$2:$D$2230,2,FALSE)</f>
        <v>#N/A</v>
      </c>
      <c r="M100" s="105" t="e">
        <f>VLOOKUP(K100,Species!$A$2:$D$2230,3,FALSE)</f>
        <v>#N/A</v>
      </c>
      <c r="N100" s="105" t="e">
        <f>VLOOKUP(K100,Species!$A$2:$D$2230,4,FALSE)</f>
        <v>#N/A</v>
      </c>
      <c r="O100" s="10"/>
      <c r="P100" s="10"/>
      <c r="Q100" s="101"/>
      <c r="R100" s="99"/>
      <c r="S100" s="99"/>
      <c r="T100" s="102"/>
      <c r="U100" s="102"/>
      <c r="V100" s="102"/>
      <c r="W100" s="102"/>
      <c r="X100" s="99"/>
      <c r="Y100" s="99"/>
      <c r="Z100" s="99"/>
      <c r="AA100" s="99"/>
      <c r="AB100" s="99"/>
      <c r="AC100" s="10"/>
      <c r="AD100" s="99"/>
      <c r="AE100" s="103"/>
      <c r="AF100" s="16"/>
    </row>
    <row r="101" spans="1:32" x14ac:dyDescent="0.25">
      <c r="A101" s="10"/>
      <c r="B101" s="10"/>
      <c r="C101" s="53"/>
      <c r="D101" s="10"/>
      <c r="E101" s="10"/>
      <c r="F101" s="99"/>
      <c r="G101" s="10"/>
      <c r="H101" s="10"/>
      <c r="I101" s="100"/>
      <c r="J101" s="10"/>
      <c r="K101" s="99"/>
      <c r="L101" s="105" t="e">
        <f>VLOOKUP(K101,Species!$A$2:$D$2230,2,FALSE)</f>
        <v>#N/A</v>
      </c>
      <c r="M101" s="105" t="e">
        <f>VLOOKUP(K101,Species!$A$2:$D$2230,3,FALSE)</f>
        <v>#N/A</v>
      </c>
      <c r="N101" s="105" t="e">
        <f>VLOOKUP(K101,Species!$A$2:$D$2230,4,FALSE)</f>
        <v>#N/A</v>
      </c>
      <c r="O101" s="10"/>
      <c r="P101" s="10"/>
      <c r="Q101" s="101"/>
      <c r="R101" s="99"/>
      <c r="S101" s="99"/>
      <c r="T101" s="102"/>
      <c r="U101" s="102"/>
      <c r="V101" s="102"/>
      <c r="W101" s="102"/>
      <c r="X101" s="99"/>
      <c r="Y101" s="99"/>
      <c r="Z101" s="99"/>
      <c r="AA101" s="99"/>
      <c r="AB101" s="99"/>
      <c r="AC101" s="10"/>
      <c r="AD101" s="99"/>
      <c r="AE101" s="103"/>
      <c r="AF101" s="16"/>
    </row>
    <row r="102" spans="1:32" x14ac:dyDescent="0.25">
      <c r="A102" s="54"/>
      <c r="B102" s="54"/>
      <c r="C102" s="53"/>
      <c r="D102" s="54"/>
      <c r="E102" s="54"/>
      <c r="F102" s="99"/>
      <c r="G102" s="54"/>
      <c r="H102" s="54"/>
      <c r="I102" s="100"/>
      <c r="J102" s="54"/>
      <c r="K102" s="99"/>
      <c r="L102" s="105" t="e">
        <f>VLOOKUP(K102,Species!$A$2:$D$2230,2,FALSE)</f>
        <v>#N/A</v>
      </c>
      <c r="M102" s="105" t="e">
        <f>VLOOKUP(K102,Species!$A$2:$D$2230,3,FALSE)</f>
        <v>#N/A</v>
      </c>
      <c r="N102" s="105" t="e">
        <f>VLOOKUP(K102,Species!$A$2:$D$2230,4,FALSE)</f>
        <v>#N/A</v>
      </c>
      <c r="O102" s="54"/>
      <c r="P102" s="54"/>
      <c r="Q102" s="101"/>
      <c r="R102" s="99"/>
      <c r="S102" s="99"/>
      <c r="T102" s="102"/>
      <c r="U102" s="102"/>
      <c r="V102" s="102"/>
      <c r="W102" s="102"/>
      <c r="X102" s="102"/>
      <c r="Y102" s="102"/>
      <c r="Z102" s="102"/>
      <c r="AA102" s="102"/>
      <c r="AB102" s="102"/>
      <c r="AC102" s="54"/>
      <c r="AD102" s="102"/>
      <c r="AE102" s="104"/>
      <c r="AF102" s="16"/>
    </row>
    <row r="103" spans="1:32" x14ac:dyDescent="0.25">
      <c r="A103" s="10"/>
      <c r="B103" s="10"/>
      <c r="C103" s="53"/>
      <c r="D103" s="10"/>
      <c r="E103" s="10"/>
      <c r="F103" s="99"/>
      <c r="G103" s="10"/>
      <c r="H103" s="10"/>
      <c r="I103" s="100"/>
      <c r="J103" s="10"/>
      <c r="K103" s="99"/>
      <c r="L103" s="105" t="e">
        <f>VLOOKUP(K103,Species!$A$2:$D$2230,2,FALSE)</f>
        <v>#N/A</v>
      </c>
      <c r="M103" s="105" t="e">
        <f>VLOOKUP(K103,Species!$A$2:$D$2230,3,FALSE)</f>
        <v>#N/A</v>
      </c>
      <c r="N103" s="105" t="e">
        <f>VLOOKUP(K103,Species!$A$2:$D$2230,4,FALSE)</f>
        <v>#N/A</v>
      </c>
      <c r="O103" s="10"/>
      <c r="P103" s="10"/>
      <c r="Q103" s="101"/>
      <c r="R103" s="99"/>
      <c r="S103" s="99"/>
      <c r="T103" s="102"/>
      <c r="U103" s="102"/>
      <c r="V103" s="102"/>
      <c r="W103" s="102"/>
      <c r="X103" s="99"/>
      <c r="Y103" s="99"/>
      <c r="Z103" s="99"/>
      <c r="AA103" s="99"/>
      <c r="AB103" s="99"/>
      <c r="AC103" s="10"/>
      <c r="AD103" s="99"/>
      <c r="AE103" s="103"/>
      <c r="AF103" s="16"/>
    </row>
    <row r="104" spans="1:32" x14ac:dyDescent="0.25">
      <c r="A104" s="10"/>
      <c r="B104" s="10"/>
      <c r="C104" s="53"/>
      <c r="D104" s="10"/>
      <c r="E104" s="10"/>
      <c r="F104" s="99"/>
      <c r="G104" s="10"/>
      <c r="H104" s="10"/>
      <c r="I104" s="100"/>
      <c r="J104" s="10"/>
      <c r="K104" s="99"/>
      <c r="L104" s="105" t="e">
        <f>VLOOKUP(K104,Species!$A$2:$D$2230,2,FALSE)</f>
        <v>#N/A</v>
      </c>
      <c r="M104" s="105" t="e">
        <f>VLOOKUP(K104,Species!$A$2:$D$2230,3,FALSE)</f>
        <v>#N/A</v>
      </c>
      <c r="N104" s="105" t="e">
        <f>VLOOKUP(K104,Species!$A$2:$D$2230,4,FALSE)</f>
        <v>#N/A</v>
      </c>
      <c r="O104" s="10"/>
      <c r="P104" s="10"/>
      <c r="Q104" s="101"/>
      <c r="R104" s="99"/>
      <c r="S104" s="99"/>
      <c r="T104" s="102"/>
      <c r="U104" s="102"/>
      <c r="V104" s="102"/>
      <c r="W104" s="102"/>
      <c r="X104" s="99"/>
      <c r="Y104" s="99"/>
      <c r="Z104" s="99"/>
      <c r="AA104" s="99"/>
      <c r="AB104" s="99"/>
      <c r="AC104" s="10"/>
      <c r="AD104" s="99"/>
      <c r="AE104" s="103"/>
      <c r="AF104" s="16"/>
    </row>
    <row r="105" spans="1:32" x14ac:dyDescent="0.25">
      <c r="A105" s="10"/>
      <c r="B105" s="10"/>
      <c r="C105" s="53"/>
      <c r="D105" s="10"/>
      <c r="E105" s="10"/>
      <c r="F105" s="99"/>
      <c r="G105" s="10"/>
      <c r="H105" s="10"/>
      <c r="I105" s="100"/>
      <c r="J105" s="10"/>
      <c r="K105" s="99"/>
      <c r="L105" s="105" t="e">
        <f>VLOOKUP(K105,Species!$A$2:$D$2230,2,FALSE)</f>
        <v>#N/A</v>
      </c>
      <c r="M105" s="105" t="e">
        <f>VLOOKUP(K105,Species!$A$2:$D$2230,3,FALSE)</f>
        <v>#N/A</v>
      </c>
      <c r="N105" s="105" t="e">
        <f>VLOOKUP(K105,Species!$A$2:$D$2230,4,FALSE)</f>
        <v>#N/A</v>
      </c>
      <c r="O105" s="10"/>
      <c r="P105" s="10"/>
      <c r="Q105" s="101"/>
      <c r="R105" s="99"/>
      <c r="S105" s="99"/>
      <c r="T105" s="102"/>
      <c r="U105" s="102"/>
      <c r="V105" s="102"/>
      <c r="W105" s="102"/>
      <c r="X105" s="99"/>
      <c r="Y105" s="99"/>
      <c r="Z105" s="99"/>
      <c r="AA105" s="99"/>
      <c r="AB105" s="99"/>
      <c r="AC105" s="10"/>
      <c r="AD105" s="99"/>
      <c r="AE105" s="103"/>
      <c r="AF105" s="16"/>
    </row>
    <row r="106" spans="1:32" x14ac:dyDescent="0.25">
      <c r="A106" s="10"/>
      <c r="B106" s="10"/>
      <c r="C106" s="53"/>
      <c r="D106" s="10"/>
      <c r="E106" s="10"/>
      <c r="F106" s="99"/>
      <c r="G106" s="10"/>
      <c r="H106" s="10"/>
      <c r="I106" s="100"/>
      <c r="J106" s="10"/>
      <c r="K106" s="99"/>
      <c r="L106" s="105" t="e">
        <f>VLOOKUP(K106,Species!$A$2:$D$2230,2,FALSE)</f>
        <v>#N/A</v>
      </c>
      <c r="M106" s="105" t="e">
        <f>VLOOKUP(K106,Species!$A$2:$D$2230,3,FALSE)</f>
        <v>#N/A</v>
      </c>
      <c r="N106" s="105" t="e">
        <f>VLOOKUP(K106,Species!$A$2:$D$2230,4,FALSE)</f>
        <v>#N/A</v>
      </c>
      <c r="O106" s="10"/>
      <c r="P106" s="10"/>
      <c r="Q106" s="101"/>
      <c r="R106" s="99"/>
      <c r="S106" s="99"/>
      <c r="T106" s="102"/>
      <c r="U106" s="102"/>
      <c r="V106" s="102"/>
      <c r="W106" s="102"/>
      <c r="X106" s="99"/>
      <c r="Y106" s="99"/>
      <c r="Z106" s="99"/>
      <c r="AA106" s="99"/>
      <c r="AB106" s="99"/>
      <c r="AC106" s="10"/>
      <c r="AD106" s="99"/>
      <c r="AE106" s="103"/>
      <c r="AF106" s="16"/>
    </row>
    <row r="107" spans="1:32" x14ac:dyDescent="0.25">
      <c r="A107" s="10"/>
      <c r="B107" s="10"/>
      <c r="C107" s="53"/>
      <c r="D107" s="10"/>
      <c r="E107" s="10"/>
      <c r="F107" s="99"/>
      <c r="G107" s="10"/>
      <c r="H107" s="10"/>
      <c r="I107" s="100"/>
      <c r="J107" s="10"/>
      <c r="K107" s="99"/>
      <c r="L107" s="105" t="e">
        <f>VLOOKUP(K107,Species!$A$2:$D$2230,2,FALSE)</f>
        <v>#N/A</v>
      </c>
      <c r="M107" s="105" t="e">
        <f>VLOOKUP(K107,Species!$A$2:$D$2230,3,FALSE)</f>
        <v>#N/A</v>
      </c>
      <c r="N107" s="105" t="e">
        <f>VLOOKUP(K107,Species!$A$2:$D$2230,4,FALSE)</f>
        <v>#N/A</v>
      </c>
      <c r="O107" s="10"/>
      <c r="P107" s="10"/>
      <c r="Q107" s="101"/>
      <c r="R107" s="99"/>
      <c r="S107" s="99"/>
      <c r="T107" s="102"/>
      <c r="U107" s="102"/>
      <c r="V107" s="102"/>
      <c r="W107" s="102"/>
      <c r="X107" s="99"/>
      <c r="Y107" s="99"/>
      <c r="Z107" s="99"/>
      <c r="AA107" s="99"/>
      <c r="AB107" s="99"/>
      <c r="AC107" s="10"/>
      <c r="AD107" s="99"/>
      <c r="AE107" s="103"/>
      <c r="AF107" s="16"/>
    </row>
    <row r="108" spans="1:32" x14ac:dyDescent="0.25">
      <c r="A108" s="10"/>
      <c r="B108" s="10"/>
      <c r="C108" s="53"/>
      <c r="D108" s="10"/>
      <c r="E108" s="10"/>
      <c r="F108" s="99"/>
      <c r="G108" s="10"/>
      <c r="H108" s="10"/>
      <c r="I108" s="100"/>
      <c r="J108" s="10"/>
      <c r="K108" s="99"/>
      <c r="L108" s="105" t="e">
        <f>VLOOKUP(K108,Species!$A$2:$D$2230,2,FALSE)</f>
        <v>#N/A</v>
      </c>
      <c r="M108" s="105" t="e">
        <f>VLOOKUP(K108,Species!$A$2:$D$2230,3,FALSE)</f>
        <v>#N/A</v>
      </c>
      <c r="N108" s="105" t="e">
        <f>VLOOKUP(K108,Species!$A$2:$D$2230,4,FALSE)</f>
        <v>#N/A</v>
      </c>
      <c r="O108" s="10"/>
      <c r="P108" s="10"/>
      <c r="Q108" s="101"/>
      <c r="R108" s="99"/>
      <c r="S108" s="99"/>
      <c r="T108" s="102"/>
      <c r="U108" s="102"/>
      <c r="V108" s="102"/>
      <c r="W108" s="102"/>
      <c r="X108" s="99"/>
      <c r="Y108" s="99"/>
      <c r="Z108" s="99"/>
      <c r="AA108" s="99"/>
      <c r="AB108" s="99"/>
      <c r="AC108" s="10"/>
      <c r="AD108" s="99"/>
      <c r="AE108" s="103"/>
      <c r="AF108" s="16"/>
    </row>
    <row r="109" spans="1:32" x14ac:dyDescent="0.25">
      <c r="A109" s="10"/>
      <c r="B109" s="10"/>
      <c r="C109" s="53"/>
      <c r="D109" s="10"/>
      <c r="E109" s="10"/>
      <c r="F109" s="99"/>
      <c r="G109" s="10"/>
      <c r="H109" s="10"/>
      <c r="I109" s="100"/>
      <c r="J109" s="10"/>
      <c r="K109" s="99"/>
      <c r="L109" s="105" t="e">
        <f>VLOOKUP(K109,Species!$A$2:$D$2230,2,FALSE)</f>
        <v>#N/A</v>
      </c>
      <c r="M109" s="105" t="e">
        <f>VLOOKUP(K109,Species!$A$2:$D$2230,3,FALSE)</f>
        <v>#N/A</v>
      </c>
      <c r="N109" s="105" t="e">
        <f>VLOOKUP(K109,Species!$A$2:$D$2230,4,FALSE)</f>
        <v>#N/A</v>
      </c>
      <c r="O109" s="10"/>
      <c r="P109" s="10"/>
      <c r="Q109" s="101"/>
      <c r="R109" s="99"/>
      <c r="S109" s="99"/>
      <c r="T109" s="102"/>
      <c r="U109" s="102"/>
      <c r="V109" s="102"/>
      <c r="W109" s="102"/>
      <c r="X109" s="99"/>
      <c r="Y109" s="99"/>
      <c r="Z109" s="99"/>
      <c r="AA109" s="99"/>
      <c r="AB109" s="99"/>
      <c r="AC109" s="10"/>
      <c r="AD109" s="99"/>
      <c r="AE109" s="103"/>
      <c r="AF109" s="16"/>
    </row>
    <row r="110" spans="1:32" x14ac:dyDescent="0.25">
      <c r="A110" s="10"/>
      <c r="B110" s="10"/>
      <c r="C110" s="53"/>
      <c r="D110" s="10"/>
      <c r="E110" s="10"/>
      <c r="F110" s="99"/>
      <c r="G110" s="10"/>
      <c r="H110" s="10"/>
      <c r="I110" s="100"/>
      <c r="J110" s="10"/>
      <c r="K110" s="99"/>
      <c r="L110" s="105" t="e">
        <f>VLOOKUP(K110,Species!$A$2:$D$2230,2,FALSE)</f>
        <v>#N/A</v>
      </c>
      <c r="M110" s="105" t="e">
        <f>VLOOKUP(K110,Species!$A$2:$D$2230,3,FALSE)</f>
        <v>#N/A</v>
      </c>
      <c r="N110" s="105" t="e">
        <f>VLOOKUP(K110,Species!$A$2:$D$2230,4,FALSE)</f>
        <v>#N/A</v>
      </c>
      <c r="O110" s="10"/>
      <c r="P110" s="10"/>
      <c r="Q110" s="101"/>
      <c r="R110" s="99"/>
      <c r="S110" s="99"/>
      <c r="T110" s="102"/>
      <c r="U110" s="102"/>
      <c r="V110" s="102"/>
      <c r="W110" s="102"/>
      <c r="X110" s="99"/>
      <c r="Y110" s="99"/>
      <c r="Z110" s="99"/>
      <c r="AA110" s="99"/>
      <c r="AB110" s="99"/>
      <c r="AC110" s="10"/>
      <c r="AD110" s="99"/>
      <c r="AE110" s="103"/>
      <c r="AF110" s="16"/>
    </row>
    <row r="111" spans="1:32" x14ac:dyDescent="0.25">
      <c r="A111" s="54"/>
      <c r="B111" s="54"/>
      <c r="C111" s="53"/>
      <c r="D111" s="54"/>
      <c r="E111" s="54"/>
      <c r="F111" s="99"/>
      <c r="G111" s="54"/>
      <c r="H111" s="54"/>
      <c r="I111" s="100"/>
      <c r="J111" s="54"/>
      <c r="K111" s="99"/>
      <c r="L111" s="105" t="e">
        <f>VLOOKUP(K111,Species!$A$2:$D$2230,2,FALSE)</f>
        <v>#N/A</v>
      </c>
      <c r="M111" s="105" t="e">
        <f>VLOOKUP(K111,Species!$A$2:$D$2230,3,FALSE)</f>
        <v>#N/A</v>
      </c>
      <c r="N111" s="105" t="e">
        <f>VLOOKUP(K111,Species!$A$2:$D$2230,4,FALSE)</f>
        <v>#N/A</v>
      </c>
      <c r="O111" s="54"/>
      <c r="P111" s="54"/>
      <c r="Q111" s="101"/>
      <c r="R111" s="99"/>
      <c r="S111" s="99"/>
      <c r="T111" s="102"/>
      <c r="U111" s="102"/>
      <c r="V111" s="102"/>
      <c r="W111" s="102"/>
      <c r="X111" s="102"/>
      <c r="Y111" s="102"/>
      <c r="Z111" s="102"/>
      <c r="AA111" s="102"/>
      <c r="AB111" s="102"/>
      <c r="AC111" s="54"/>
      <c r="AD111" s="102"/>
      <c r="AE111" s="104"/>
      <c r="AF111" s="16"/>
    </row>
    <row r="112" spans="1:32" x14ac:dyDescent="0.25">
      <c r="A112" s="10"/>
      <c r="B112" s="10"/>
      <c r="C112" s="53"/>
      <c r="D112" s="10"/>
      <c r="E112" s="10"/>
      <c r="F112" s="99"/>
      <c r="G112" s="10"/>
      <c r="H112" s="10"/>
      <c r="I112" s="100"/>
      <c r="J112" s="10"/>
      <c r="K112" s="99"/>
      <c r="L112" s="105" t="e">
        <f>VLOOKUP(K112,Species!$A$2:$D$2230,2,FALSE)</f>
        <v>#N/A</v>
      </c>
      <c r="M112" s="105" t="e">
        <f>VLOOKUP(K112,Species!$A$2:$D$2230,3,FALSE)</f>
        <v>#N/A</v>
      </c>
      <c r="N112" s="105" t="e">
        <f>VLOOKUP(K112,Species!$A$2:$D$2230,4,FALSE)</f>
        <v>#N/A</v>
      </c>
      <c r="O112" s="10"/>
      <c r="P112" s="10"/>
      <c r="Q112" s="101"/>
      <c r="R112" s="99"/>
      <c r="S112" s="99"/>
      <c r="T112" s="102"/>
      <c r="U112" s="102"/>
      <c r="V112" s="102"/>
      <c r="W112" s="102"/>
      <c r="X112" s="99"/>
      <c r="Y112" s="99"/>
      <c r="Z112" s="99"/>
      <c r="AA112" s="99"/>
      <c r="AB112" s="99"/>
      <c r="AC112" s="10"/>
      <c r="AD112" s="99"/>
      <c r="AE112" s="103"/>
      <c r="AF112" s="16"/>
    </row>
    <row r="113" spans="1:32" x14ac:dyDescent="0.25">
      <c r="A113" s="10"/>
      <c r="B113" s="10"/>
      <c r="C113" s="53"/>
      <c r="D113" s="10"/>
      <c r="E113" s="10"/>
      <c r="F113" s="99"/>
      <c r="G113" s="10"/>
      <c r="H113" s="10"/>
      <c r="I113" s="100"/>
      <c r="J113" s="10"/>
      <c r="K113" s="99"/>
      <c r="L113" s="105" t="e">
        <f>VLOOKUP(K113,Species!$A$2:$D$2230,2,FALSE)</f>
        <v>#N/A</v>
      </c>
      <c r="M113" s="105" t="e">
        <f>VLOOKUP(K113,Species!$A$2:$D$2230,3,FALSE)</f>
        <v>#N/A</v>
      </c>
      <c r="N113" s="105" t="e">
        <f>VLOOKUP(K113,Species!$A$2:$D$2230,4,FALSE)</f>
        <v>#N/A</v>
      </c>
      <c r="O113" s="10"/>
      <c r="P113" s="10"/>
      <c r="Q113" s="101"/>
      <c r="R113" s="99"/>
      <c r="S113" s="99"/>
      <c r="T113" s="102"/>
      <c r="U113" s="102"/>
      <c r="V113" s="102"/>
      <c r="W113" s="102"/>
      <c r="X113" s="99"/>
      <c r="Y113" s="99"/>
      <c r="Z113" s="99"/>
      <c r="AA113" s="99"/>
      <c r="AB113" s="99"/>
      <c r="AC113" s="10"/>
      <c r="AD113" s="99"/>
      <c r="AE113" s="103"/>
      <c r="AF113" s="16"/>
    </row>
    <row r="114" spans="1:32" x14ac:dyDescent="0.25">
      <c r="A114" s="10"/>
      <c r="B114" s="10"/>
      <c r="C114" s="53"/>
      <c r="D114" s="10"/>
      <c r="E114" s="10"/>
      <c r="F114" s="99"/>
      <c r="G114" s="10"/>
      <c r="H114" s="10"/>
      <c r="I114" s="100"/>
      <c r="J114" s="10"/>
      <c r="K114" s="99"/>
      <c r="L114" s="105" t="e">
        <f>VLOOKUP(K114,Species!$A$2:$D$2230,2,FALSE)</f>
        <v>#N/A</v>
      </c>
      <c r="M114" s="105" t="e">
        <f>VLOOKUP(K114,Species!$A$2:$D$2230,3,FALSE)</f>
        <v>#N/A</v>
      </c>
      <c r="N114" s="105" t="e">
        <f>VLOOKUP(K114,Species!$A$2:$D$2230,4,FALSE)</f>
        <v>#N/A</v>
      </c>
      <c r="O114" s="10"/>
      <c r="P114" s="10"/>
      <c r="Q114" s="101"/>
      <c r="R114" s="99"/>
      <c r="S114" s="99"/>
      <c r="T114" s="102"/>
      <c r="U114" s="102"/>
      <c r="V114" s="102"/>
      <c r="W114" s="102"/>
      <c r="X114" s="99"/>
      <c r="Y114" s="99"/>
      <c r="Z114" s="99"/>
      <c r="AA114" s="99"/>
      <c r="AB114" s="99"/>
      <c r="AC114" s="10"/>
      <c r="AD114" s="99"/>
      <c r="AE114" s="103"/>
      <c r="AF114" s="16"/>
    </row>
    <row r="115" spans="1:32" x14ac:dyDescent="0.25">
      <c r="A115" s="10"/>
      <c r="B115" s="10"/>
      <c r="C115" s="53"/>
      <c r="D115" s="10"/>
      <c r="E115" s="10"/>
      <c r="F115" s="99"/>
      <c r="G115" s="10"/>
      <c r="H115" s="10"/>
      <c r="I115" s="100"/>
      <c r="J115" s="10"/>
      <c r="K115" s="99"/>
      <c r="L115" s="105" t="e">
        <f>VLOOKUP(K115,Species!$A$2:$D$2230,2,FALSE)</f>
        <v>#N/A</v>
      </c>
      <c r="M115" s="105" t="e">
        <f>VLOOKUP(K115,Species!$A$2:$D$2230,3,FALSE)</f>
        <v>#N/A</v>
      </c>
      <c r="N115" s="105" t="e">
        <f>VLOOKUP(K115,Species!$A$2:$D$2230,4,FALSE)</f>
        <v>#N/A</v>
      </c>
      <c r="O115" s="10"/>
      <c r="P115" s="10"/>
      <c r="Q115" s="101"/>
      <c r="R115" s="99"/>
      <c r="S115" s="99"/>
      <c r="T115" s="102"/>
      <c r="U115" s="102"/>
      <c r="V115" s="102"/>
      <c r="W115" s="102"/>
      <c r="X115" s="99"/>
      <c r="Y115" s="99"/>
      <c r="Z115" s="99"/>
      <c r="AA115" s="99"/>
      <c r="AB115" s="99"/>
      <c r="AC115" s="10"/>
      <c r="AD115" s="99"/>
      <c r="AE115" s="103"/>
      <c r="AF115" s="16"/>
    </row>
    <row r="116" spans="1:32" x14ac:dyDescent="0.25">
      <c r="A116" s="10"/>
      <c r="B116" s="10"/>
      <c r="C116" s="53"/>
      <c r="D116" s="10"/>
      <c r="E116" s="10"/>
      <c r="F116" s="99"/>
      <c r="G116" s="10"/>
      <c r="H116" s="10"/>
      <c r="I116" s="100"/>
      <c r="J116" s="10"/>
      <c r="K116" s="99"/>
      <c r="L116" s="105" t="e">
        <f>VLOOKUP(K116,Species!$A$2:$D$2230,2,FALSE)</f>
        <v>#N/A</v>
      </c>
      <c r="M116" s="105" t="e">
        <f>VLOOKUP(K116,Species!$A$2:$D$2230,3,FALSE)</f>
        <v>#N/A</v>
      </c>
      <c r="N116" s="105" t="e">
        <f>VLOOKUP(K116,Species!$A$2:$D$2230,4,FALSE)</f>
        <v>#N/A</v>
      </c>
      <c r="O116" s="10"/>
      <c r="P116" s="10"/>
      <c r="Q116" s="101"/>
      <c r="R116" s="99"/>
      <c r="S116" s="99"/>
      <c r="T116" s="102"/>
      <c r="U116" s="102"/>
      <c r="V116" s="102"/>
      <c r="W116" s="102"/>
      <c r="X116" s="99"/>
      <c r="Y116" s="99"/>
      <c r="Z116" s="99"/>
      <c r="AA116" s="99"/>
      <c r="AB116" s="99"/>
      <c r="AC116" s="10"/>
      <c r="AD116" s="99"/>
      <c r="AE116" s="103"/>
      <c r="AF116" s="16"/>
    </row>
    <row r="117" spans="1:32" x14ac:dyDescent="0.25">
      <c r="A117" s="10"/>
      <c r="B117" s="10"/>
      <c r="C117" s="53"/>
      <c r="D117" s="10"/>
      <c r="E117" s="10"/>
      <c r="F117" s="99"/>
      <c r="G117" s="10"/>
      <c r="H117" s="10"/>
      <c r="I117" s="100"/>
      <c r="J117" s="10"/>
      <c r="K117" s="99"/>
      <c r="L117" s="105" t="e">
        <f>VLOOKUP(K117,Species!$A$2:$D$2230,2,FALSE)</f>
        <v>#N/A</v>
      </c>
      <c r="M117" s="105" t="e">
        <f>VLOOKUP(K117,Species!$A$2:$D$2230,3,FALSE)</f>
        <v>#N/A</v>
      </c>
      <c r="N117" s="105" t="e">
        <f>VLOOKUP(K117,Species!$A$2:$D$2230,4,FALSE)</f>
        <v>#N/A</v>
      </c>
      <c r="O117" s="10"/>
      <c r="P117" s="10"/>
      <c r="Q117" s="101"/>
      <c r="R117" s="99"/>
      <c r="S117" s="99"/>
      <c r="T117" s="102"/>
      <c r="U117" s="102"/>
      <c r="V117" s="102"/>
      <c r="W117" s="102"/>
      <c r="X117" s="99"/>
      <c r="Y117" s="99"/>
      <c r="Z117" s="99"/>
      <c r="AA117" s="99"/>
      <c r="AB117" s="99"/>
      <c r="AC117" s="10"/>
      <c r="AD117" s="99"/>
      <c r="AE117" s="103"/>
      <c r="AF117" s="16"/>
    </row>
    <row r="118" spans="1:32" x14ac:dyDescent="0.25">
      <c r="A118" s="10"/>
      <c r="B118" s="10"/>
      <c r="C118" s="53"/>
      <c r="D118" s="10"/>
      <c r="E118" s="10"/>
      <c r="F118" s="99"/>
      <c r="G118" s="10"/>
      <c r="H118" s="10"/>
      <c r="I118" s="100"/>
      <c r="J118" s="10"/>
      <c r="K118" s="99"/>
      <c r="L118" s="105" t="e">
        <f>VLOOKUP(K118,Species!$A$2:$D$2230,2,FALSE)</f>
        <v>#N/A</v>
      </c>
      <c r="M118" s="105" t="e">
        <f>VLOOKUP(K118,Species!$A$2:$D$2230,3,FALSE)</f>
        <v>#N/A</v>
      </c>
      <c r="N118" s="105" t="e">
        <f>VLOOKUP(K118,Species!$A$2:$D$2230,4,FALSE)</f>
        <v>#N/A</v>
      </c>
      <c r="O118" s="10"/>
      <c r="P118" s="10"/>
      <c r="Q118" s="101"/>
      <c r="R118" s="99"/>
      <c r="S118" s="99"/>
      <c r="T118" s="102"/>
      <c r="U118" s="102"/>
      <c r="V118" s="102"/>
      <c r="W118" s="102"/>
      <c r="X118" s="99"/>
      <c r="Y118" s="99"/>
      <c r="Z118" s="99"/>
      <c r="AA118" s="99"/>
      <c r="AB118" s="99"/>
      <c r="AC118" s="10"/>
      <c r="AD118" s="99"/>
      <c r="AE118" s="103"/>
      <c r="AF118" s="16"/>
    </row>
    <row r="119" spans="1:32" x14ac:dyDescent="0.25">
      <c r="A119" s="10"/>
      <c r="B119" s="10"/>
      <c r="C119" s="53"/>
      <c r="D119" s="10"/>
      <c r="E119" s="10"/>
      <c r="F119" s="99"/>
      <c r="G119" s="10"/>
      <c r="H119" s="10"/>
      <c r="I119" s="100"/>
      <c r="J119" s="10"/>
      <c r="K119" s="99"/>
      <c r="L119" s="105" t="e">
        <f>VLOOKUP(K119,Species!$A$2:$D$2230,2,FALSE)</f>
        <v>#N/A</v>
      </c>
      <c r="M119" s="105" t="e">
        <f>VLOOKUP(K119,Species!$A$2:$D$2230,3,FALSE)</f>
        <v>#N/A</v>
      </c>
      <c r="N119" s="105" t="e">
        <f>VLOOKUP(K119,Species!$A$2:$D$2230,4,FALSE)</f>
        <v>#N/A</v>
      </c>
      <c r="O119" s="10"/>
      <c r="P119" s="10"/>
      <c r="Q119" s="101"/>
      <c r="R119" s="99"/>
      <c r="S119" s="99"/>
      <c r="T119" s="102"/>
      <c r="U119" s="102"/>
      <c r="V119" s="102"/>
      <c r="W119" s="102"/>
      <c r="X119" s="99"/>
      <c r="Y119" s="99"/>
      <c r="Z119" s="99"/>
      <c r="AA119" s="99"/>
      <c r="AB119" s="99"/>
      <c r="AC119" s="10"/>
      <c r="AD119" s="99"/>
      <c r="AE119" s="103"/>
      <c r="AF119" s="16"/>
    </row>
    <row r="120" spans="1:32" x14ac:dyDescent="0.25">
      <c r="A120" s="54"/>
      <c r="B120" s="54"/>
      <c r="C120" s="53"/>
      <c r="D120" s="54"/>
      <c r="E120" s="54"/>
      <c r="F120" s="99"/>
      <c r="G120" s="54"/>
      <c r="H120" s="54"/>
      <c r="I120" s="100"/>
      <c r="J120" s="54"/>
      <c r="K120" s="99"/>
      <c r="L120" s="105" t="e">
        <f>VLOOKUP(K120,Species!$A$2:$D$2230,2,FALSE)</f>
        <v>#N/A</v>
      </c>
      <c r="M120" s="105" t="e">
        <f>VLOOKUP(K120,Species!$A$2:$D$2230,3,FALSE)</f>
        <v>#N/A</v>
      </c>
      <c r="N120" s="105" t="e">
        <f>VLOOKUP(K120,Species!$A$2:$D$2230,4,FALSE)</f>
        <v>#N/A</v>
      </c>
      <c r="O120" s="54"/>
      <c r="P120" s="54"/>
      <c r="Q120" s="101"/>
      <c r="R120" s="99"/>
      <c r="S120" s="99"/>
      <c r="T120" s="102"/>
      <c r="U120" s="102"/>
      <c r="V120" s="102"/>
      <c r="W120" s="102"/>
      <c r="X120" s="102"/>
      <c r="Y120" s="102"/>
      <c r="Z120" s="102"/>
      <c r="AA120" s="102"/>
      <c r="AB120" s="102"/>
      <c r="AC120" s="54"/>
      <c r="AD120" s="102"/>
      <c r="AE120" s="104"/>
      <c r="AF120" s="16"/>
    </row>
    <row r="121" spans="1:32" x14ac:dyDescent="0.25">
      <c r="A121" s="10"/>
      <c r="B121" s="10"/>
      <c r="C121" s="53"/>
      <c r="D121" s="10"/>
      <c r="E121" s="10"/>
      <c r="F121" s="99"/>
      <c r="G121" s="10"/>
      <c r="H121" s="10"/>
      <c r="I121" s="100"/>
      <c r="J121" s="10"/>
      <c r="K121" s="99"/>
      <c r="L121" s="105" t="e">
        <f>VLOOKUP(K121,Species!$A$2:$D$2230,2,FALSE)</f>
        <v>#N/A</v>
      </c>
      <c r="M121" s="105" t="e">
        <f>VLOOKUP(K121,Species!$A$2:$D$2230,3,FALSE)</f>
        <v>#N/A</v>
      </c>
      <c r="N121" s="105" t="e">
        <f>VLOOKUP(K121,Species!$A$2:$D$2230,4,FALSE)</f>
        <v>#N/A</v>
      </c>
      <c r="O121" s="10"/>
      <c r="P121" s="10"/>
      <c r="Q121" s="101"/>
      <c r="R121" s="99"/>
      <c r="S121" s="99"/>
      <c r="T121" s="102"/>
      <c r="U121" s="102"/>
      <c r="V121" s="102"/>
      <c r="W121" s="102"/>
      <c r="X121" s="99"/>
      <c r="Y121" s="99"/>
      <c r="Z121" s="99"/>
      <c r="AA121" s="99"/>
      <c r="AB121" s="99"/>
      <c r="AC121" s="10"/>
      <c r="AD121" s="99"/>
      <c r="AE121" s="103"/>
      <c r="AF121" s="16"/>
    </row>
    <row r="122" spans="1:32" x14ac:dyDescent="0.25">
      <c r="A122" s="10"/>
      <c r="B122" s="10"/>
      <c r="C122" s="53"/>
      <c r="D122" s="10"/>
      <c r="E122" s="10"/>
      <c r="F122" s="99"/>
      <c r="G122" s="10"/>
      <c r="H122" s="10"/>
      <c r="I122" s="100"/>
      <c r="J122" s="10"/>
      <c r="K122" s="99"/>
      <c r="L122" s="105" t="e">
        <f>VLOOKUP(K122,Species!$A$2:$D$2230,2,FALSE)</f>
        <v>#N/A</v>
      </c>
      <c r="M122" s="105" t="e">
        <f>VLOOKUP(K122,Species!$A$2:$D$2230,3,FALSE)</f>
        <v>#N/A</v>
      </c>
      <c r="N122" s="105" t="e">
        <f>VLOOKUP(K122,Species!$A$2:$D$2230,4,FALSE)</f>
        <v>#N/A</v>
      </c>
      <c r="O122" s="10"/>
      <c r="P122" s="10"/>
      <c r="Q122" s="101"/>
      <c r="R122" s="99"/>
      <c r="S122" s="99"/>
      <c r="T122" s="102"/>
      <c r="U122" s="102"/>
      <c r="V122" s="102"/>
      <c r="W122" s="102"/>
      <c r="X122" s="99"/>
      <c r="Y122" s="99"/>
      <c r="Z122" s="99"/>
      <c r="AA122" s="99"/>
      <c r="AB122" s="99"/>
      <c r="AC122" s="10"/>
      <c r="AD122" s="99"/>
      <c r="AE122" s="103"/>
      <c r="AF122" s="16"/>
    </row>
    <row r="123" spans="1:32" x14ac:dyDescent="0.25">
      <c r="A123" s="10"/>
      <c r="B123" s="10"/>
      <c r="C123" s="53"/>
      <c r="D123" s="10"/>
      <c r="E123" s="10"/>
      <c r="F123" s="99"/>
      <c r="G123" s="10"/>
      <c r="H123" s="10"/>
      <c r="I123" s="100"/>
      <c r="J123" s="10"/>
      <c r="K123" s="99"/>
      <c r="L123" s="105" t="e">
        <f>VLOOKUP(K123,Species!$A$2:$D$2230,2,FALSE)</f>
        <v>#N/A</v>
      </c>
      <c r="M123" s="105" t="e">
        <f>VLOOKUP(K123,Species!$A$2:$D$2230,3,FALSE)</f>
        <v>#N/A</v>
      </c>
      <c r="N123" s="105" t="e">
        <f>VLOOKUP(K123,Species!$A$2:$D$2230,4,FALSE)</f>
        <v>#N/A</v>
      </c>
      <c r="O123" s="10"/>
      <c r="P123" s="10"/>
      <c r="Q123" s="101"/>
      <c r="R123" s="99"/>
      <c r="S123" s="99"/>
      <c r="T123" s="102"/>
      <c r="U123" s="102"/>
      <c r="V123" s="102"/>
      <c r="W123" s="102"/>
      <c r="X123" s="99"/>
      <c r="Y123" s="99"/>
      <c r="Z123" s="99"/>
      <c r="AA123" s="99"/>
      <c r="AB123" s="99"/>
      <c r="AC123" s="10"/>
      <c r="AD123" s="99"/>
      <c r="AE123" s="103"/>
      <c r="AF123" s="16"/>
    </row>
    <row r="124" spans="1:32" x14ac:dyDescent="0.25">
      <c r="A124" s="10"/>
      <c r="B124" s="10"/>
      <c r="C124" s="53"/>
      <c r="D124" s="10"/>
      <c r="E124" s="10"/>
      <c r="F124" s="99"/>
      <c r="G124" s="10"/>
      <c r="H124" s="10"/>
      <c r="I124" s="100"/>
      <c r="J124" s="10"/>
      <c r="K124" s="99"/>
      <c r="L124" s="105" t="e">
        <f>VLOOKUP(K124,Species!$A$2:$D$2230,2,FALSE)</f>
        <v>#N/A</v>
      </c>
      <c r="M124" s="105" t="e">
        <f>VLOOKUP(K124,Species!$A$2:$D$2230,3,FALSE)</f>
        <v>#N/A</v>
      </c>
      <c r="N124" s="105" t="e">
        <f>VLOOKUP(K124,Species!$A$2:$D$2230,4,FALSE)</f>
        <v>#N/A</v>
      </c>
      <c r="O124" s="10"/>
      <c r="P124" s="10"/>
      <c r="Q124" s="101"/>
      <c r="R124" s="99"/>
      <c r="S124" s="99"/>
      <c r="T124" s="102"/>
      <c r="U124" s="102"/>
      <c r="V124" s="102"/>
      <c r="W124" s="102"/>
      <c r="X124" s="99"/>
      <c r="Y124" s="99"/>
      <c r="Z124" s="99"/>
      <c r="AA124" s="99"/>
      <c r="AB124" s="99"/>
      <c r="AC124" s="10"/>
      <c r="AD124" s="99"/>
      <c r="AE124" s="103"/>
      <c r="AF124" s="16"/>
    </row>
    <row r="125" spans="1:32" x14ac:dyDescent="0.25">
      <c r="A125" s="10"/>
      <c r="B125" s="10"/>
      <c r="C125" s="53"/>
      <c r="D125" s="10"/>
      <c r="E125" s="10"/>
      <c r="F125" s="99"/>
      <c r="G125" s="10"/>
      <c r="H125" s="10"/>
      <c r="I125" s="100"/>
      <c r="J125" s="10"/>
      <c r="K125" s="99"/>
      <c r="L125" s="105" t="e">
        <f>VLOOKUP(K125,Species!$A$2:$D$2230,2,FALSE)</f>
        <v>#N/A</v>
      </c>
      <c r="M125" s="105" t="e">
        <f>VLOOKUP(K125,Species!$A$2:$D$2230,3,FALSE)</f>
        <v>#N/A</v>
      </c>
      <c r="N125" s="105" t="e">
        <f>VLOOKUP(K125,Species!$A$2:$D$2230,4,FALSE)</f>
        <v>#N/A</v>
      </c>
      <c r="O125" s="10"/>
      <c r="P125" s="10"/>
      <c r="Q125" s="101"/>
      <c r="R125" s="99"/>
      <c r="S125" s="99"/>
      <c r="T125" s="102"/>
      <c r="U125" s="102"/>
      <c r="V125" s="102"/>
      <c r="W125" s="102"/>
      <c r="X125" s="99"/>
      <c r="Y125" s="99"/>
      <c r="Z125" s="99"/>
      <c r="AA125" s="99"/>
      <c r="AB125" s="99"/>
      <c r="AC125" s="10"/>
      <c r="AD125" s="99"/>
      <c r="AE125" s="103"/>
      <c r="AF125" s="16"/>
    </row>
    <row r="126" spans="1:32" x14ac:dyDescent="0.25">
      <c r="A126" s="10"/>
      <c r="B126" s="10"/>
      <c r="C126" s="53"/>
      <c r="D126" s="10"/>
      <c r="E126" s="10"/>
      <c r="F126" s="99"/>
      <c r="G126" s="10"/>
      <c r="H126" s="10"/>
      <c r="I126" s="100"/>
      <c r="J126" s="10"/>
      <c r="K126" s="99"/>
      <c r="L126" s="105" t="e">
        <f>VLOOKUP(K126,Species!$A$2:$D$2230,2,FALSE)</f>
        <v>#N/A</v>
      </c>
      <c r="M126" s="105" t="e">
        <f>VLOOKUP(K126,Species!$A$2:$D$2230,3,FALSE)</f>
        <v>#N/A</v>
      </c>
      <c r="N126" s="105" t="e">
        <f>VLOOKUP(K126,Species!$A$2:$D$2230,4,FALSE)</f>
        <v>#N/A</v>
      </c>
      <c r="O126" s="10"/>
      <c r="P126" s="10"/>
      <c r="Q126" s="101"/>
      <c r="R126" s="99"/>
      <c r="S126" s="99"/>
      <c r="T126" s="102"/>
      <c r="U126" s="102"/>
      <c r="V126" s="102"/>
      <c r="W126" s="102"/>
      <c r="X126" s="99"/>
      <c r="Y126" s="99"/>
      <c r="Z126" s="99"/>
      <c r="AA126" s="99"/>
      <c r="AB126" s="99"/>
      <c r="AC126" s="10"/>
      <c r="AD126" s="99"/>
      <c r="AE126" s="103"/>
      <c r="AF126" s="16"/>
    </row>
    <row r="127" spans="1:32" x14ac:dyDescent="0.25">
      <c r="A127" s="10"/>
      <c r="B127" s="10"/>
      <c r="C127" s="53"/>
      <c r="D127" s="10"/>
      <c r="E127" s="10"/>
      <c r="F127" s="99"/>
      <c r="G127" s="10"/>
      <c r="H127" s="10"/>
      <c r="I127" s="100"/>
      <c r="J127" s="10"/>
      <c r="K127" s="99"/>
      <c r="L127" s="105" t="e">
        <f>VLOOKUP(K127,Species!$A$2:$D$2230,2,FALSE)</f>
        <v>#N/A</v>
      </c>
      <c r="M127" s="105" t="e">
        <f>VLOOKUP(K127,Species!$A$2:$D$2230,3,FALSE)</f>
        <v>#N/A</v>
      </c>
      <c r="N127" s="105" t="e">
        <f>VLOOKUP(K127,Species!$A$2:$D$2230,4,FALSE)</f>
        <v>#N/A</v>
      </c>
      <c r="O127" s="10"/>
      <c r="P127" s="10"/>
      <c r="Q127" s="101"/>
      <c r="R127" s="99"/>
      <c r="S127" s="99"/>
      <c r="T127" s="102"/>
      <c r="U127" s="102"/>
      <c r="V127" s="102"/>
      <c r="W127" s="102"/>
      <c r="X127" s="99"/>
      <c r="Y127" s="99"/>
      <c r="Z127" s="99"/>
      <c r="AA127" s="99"/>
      <c r="AB127" s="99"/>
      <c r="AC127" s="10"/>
      <c r="AD127" s="99"/>
      <c r="AE127" s="103"/>
      <c r="AF127" s="16"/>
    </row>
    <row r="128" spans="1:32" x14ac:dyDescent="0.25">
      <c r="A128" s="10"/>
      <c r="B128" s="10"/>
      <c r="C128" s="53"/>
      <c r="D128" s="10"/>
      <c r="E128" s="10"/>
      <c r="F128" s="99"/>
      <c r="G128" s="10"/>
      <c r="H128" s="10"/>
      <c r="I128" s="100"/>
      <c r="J128" s="10"/>
      <c r="K128" s="99"/>
      <c r="L128" s="105" t="e">
        <f>VLOOKUP(K128,Species!$A$2:$D$2230,2,FALSE)</f>
        <v>#N/A</v>
      </c>
      <c r="M128" s="105" t="e">
        <f>VLOOKUP(K128,Species!$A$2:$D$2230,3,FALSE)</f>
        <v>#N/A</v>
      </c>
      <c r="N128" s="105" t="e">
        <f>VLOOKUP(K128,Species!$A$2:$D$2230,4,FALSE)</f>
        <v>#N/A</v>
      </c>
      <c r="O128" s="10"/>
      <c r="P128" s="10"/>
      <c r="Q128" s="101"/>
      <c r="R128" s="99"/>
      <c r="S128" s="99"/>
      <c r="T128" s="102"/>
      <c r="U128" s="102"/>
      <c r="V128" s="102"/>
      <c r="W128" s="102"/>
      <c r="X128" s="99"/>
      <c r="Y128" s="99"/>
      <c r="Z128" s="99"/>
      <c r="AA128" s="99"/>
      <c r="AB128" s="99"/>
      <c r="AC128" s="10"/>
      <c r="AD128" s="99"/>
      <c r="AE128" s="103"/>
      <c r="AF128" s="16"/>
    </row>
    <row r="129" spans="1:32" x14ac:dyDescent="0.25">
      <c r="A129" s="54"/>
      <c r="B129" s="54"/>
      <c r="C129" s="53"/>
      <c r="D129" s="54"/>
      <c r="E129" s="54"/>
      <c r="F129" s="99"/>
      <c r="G129" s="54"/>
      <c r="H129" s="54"/>
      <c r="I129" s="100"/>
      <c r="J129" s="54"/>
      <c r="K129" s="99"/>
      <c r="L129" s="105" t="e">
        <f>VLOOKUP(K129,Species!$A$2:$D$2230,2,FALSE)</f>
        <v>#N/A</v>
      </c>
      <c r="M129" s="105" t="e">
        <f>VLOOKUP(K129,Species!$A$2:$D$2230,3,FALSE)</f>
        <v>#N/A</v>
      </c>
      <c r="N129" s="105" t="e">
        <f>VLOOKUP(K129,Species!$A$2:$D$2230,4,FALSE)</f>
        <v>#N/A</v>
      </c>
      <c r="O129" s="54"/>
      <c r="P129" s="54"/>
      <c r="Q129" s="101"/>
      <c r="R129" s="99"/>
      <c r="S129" s="99"/>
      <c r="T129" s="102"/>
      <c r="U129" s="102"/>
      <c r="V129" s="102"/>
      <c r="W129" s="102"/>
      <c r="X129" s="102"/>
      <c r="Y129" s="102"/>
      <c r="Z129" s="102"/>
      <c r="AA129" s="102"/>
      <c r="AB129" s="102"/>
      <c r="AC129" s="54"/>
      <c r="AD129" s="102"/>
      <c r="AE129" s="104"/>
      <c r="AF129" s="16"/>
    </row>
    <row r="130" spans="1:32" x14ac:dyDescent="0.25">
      <c r="A130" s="10"/>
      <c r="B130" s="10"/>
      <c r="C130" s="53"/>
      <c r="D130" s="10"/>
      <c r="E130" s="10"/>
      <c r="F130" s="99"/>
      <c r="G130" s="10"/>
      <c r="H130" s="10"/>
      <c r="I130" s="100"/>
      <c r="J130" s="10"/>
      <c r="K130" s="99"/>
      <c r="L130" s="105" t="e">
        <f>VLOOKUP(K130,Species!$A$2:$D$2230,2,FALSE)</f>
        <v>#N/A</v>
      </c>
      <c r="M130" s="105" t="e">
        <f>VLOOKUP(K130,Species!$A$2:$D$2230,3,FALSE)</f>
        <v>#N/A</v>
      </c>
      <c r="N130" s="105" t="e">
        <f>VLOOKUP(K130,Species!$A$2:$D$2230,4,FALSE)</f>
        <v>#N/A</v>
      </c>
      <c r="O130" s="10"/>
      <c r="P130" s="10"/>
      <c r="Q130" s="101"/>
      <c r="R130" s="99"/>
      <c r="S130" s="99"/>
      <c r="T130" s="102"/>
      <c r="U130" s="102"/>
      <c r="V130" s="102"/>
      <c r="W130" s="102"/>
      <c r="X130" s="99"/>
      <c r="Y130" s="99"/>
      <c r="Z130" s="99"/>
      <c r="AA130" s="99"/>
      <c r="AB130" s="99"/>
      <c r="AC130" s="10"/>
      <c r="AD130" s="99"/>
      <c r="AE130" s="103"/>
      <c r="AF130" s="16"/>
    </row>
    <row r="131" spans="1:32" x14ac:dyDescent="0.25">
      <c r="A131" s="10"/>
      <c r="B131" s="10"/>
      <c r="C131" s="53"/>
      <c r="D131" s="10"/>
      <c r="E131" s="10"/>
      <c r="F131" s="99"/>
      <c r="G131" s="10"/>
      <c r="H131" s="10"/>
      <c r="I131" s="100"/>
      <c r="J131" s="10"/>
      <c r="K131" s="99"/>
      <c r="L131" s="105" t="e">
        <f>VLOOKUP(K131,Species!$A$2:$D$2230,2,FALSE)</f>
        <v>#N/A</v>
      </c>
      <c r="M131" s="105" t="e">
        <f>VLOOKUP(K131,Species!$A$2:$D$2230,3,FALSE)</f>
        <v>#N/A</v>
      </c>
      <c r="N131" s="105" t="e">
        <f>VLOOKUP(K131,Species!$A$2:$D$2230,4,FALSE)</f>
        <v>#N/A</v>
      </c>
      <c r="O131" s="10"/>
      <c r="P131" s="10"/>
      <c r="Q131" s="101"/>
      <c r="R131" s="99"/>
      <c r="S131" s="99"/>
      <c r="T131" s="102"/>
      <c r="U131" s="102"/>
      <c r="V131" s="102"/>
      <c r="W131" s="102"/>
      <c r="X131" s="99"/>
      <c r="Y131" s="99"/>
      <c r="Z131" s="99"/>
      <c r="AA131" s="99"/>
      <c r="AB131" s="99"/>
      <c r="AC131" s="10"/>
      <c r="AD131" s="99"/>
      <c r="AE131" s="103"/>
      <c r="AF131" s="16"/>
    </row>
    <row r="132" spans="1:32" x14ac:dyDescent="0.25">
      <c r="A132" s="10"/>
      <c r="B132" s="10"/>
      <c r="C132" s="53"/>
      <c r="D132" s="10"/>
      <c r="E132" s="10"/>
      <c r="F132" s="99"/>
      <c r="G132" s="10"/>
      <c r="H132" s="10"/>
      <c r="I132" s="100"/>
      <c r="J132" s="10"/>
      <c r="K132" s="99"/>
      <c r="L132" s="105" t="e">
        <f>VLOOKUP(K132,Species!$A$2:$D$2230,2,FALSE)</f>
        <v>#N/A</v>
      </c>
      <c r="M132" s="105" t="e">
        <f>VLOOKUP(K132,Species!$A$2:$D$2230,3,FALSE)</f>
        <v>#N/A</v>
      </c>
      <c r="N132" s="105" t="e">
        <f>VLOOKUP(K132,Species!$A$2:$D$2230,4,FALSE)</f>
        <v>#N/A</v>
      </c>
      <c r="O132" s="10"/>
      <c r="P132" s="10"/>
      <c r="Q132" s="101"/>
      <c r="R132" s="99"/>
      <c r="S132" s="99"/>
      <c r="T132" s="102"/>
      <c r="U132" s="102"/>
      <c r="V132" s="102"/>
      <c r="W132" s="102"/>
      <c r="X132" s="99"/>
      <c r="Y132" s="99"/>
      <c r="Z132" s="99"/>
      <c r="AA132" s="99"/>
      <c r="AB132" s="99"/>
      <c r="AC132" s="10"/>
      <c r="AD132" s="99"/>
      <c r="AE132" s="103"/>
      <c r="AF132" s="16"/>
    </row>
    <row r="133" spans="1:32" x14ac:dyDescent="0.25">
      <c r="A133" s="10"/>
      <c r="B133" s="10"/>
      <c r="C133" s="53"/>
      <c r="D133" s="10"/>
      <c r="E133" s="10"/>
      <c r="F133" s="99"/>
      <c r="G133" s="10"/>
      <c r="H133" s="10"/>
      <c r="I133" s="100"/>
      <c r="J133" s="10"/>
      <c r="K133" s="99"/>
      <c r="L133" s="105" t="e">
        <f>VLOOKUP(K133,Species!$A$2:$D$2230,2,FALSE)</f>
        <v>#N/A</v>
      </c>
      <c r="M133" s="105" t="e">
        <f>VLOOKUP(K133,Species!$A$2:$D$2230,3,FALSE)</f>
        <v>#N/A</v>
      </c>
      <c r="N133" s="105" t="e">
        <f>VLOOKUP(K133,Species!$A$2:$D$2230,4,FALSE)</f>
        <v>#N/A</v>
      </c>
      <c r="O133" s="10"/>
      <c r="P133" s="10"/>
      <c r="Q133" s="101"/>
      <c r="R133" s="99"/>
      <c r="S133" s="99"/>
      <c r="T133" s="102"/>
      <c r="U133" s="102"/>
      <c r="V133" s="102"/>
      <c r="W133" s="102"/>
      <c r="X133" s="99"/>
      <c r="Y133" s="99"/>
      <c r="Z133" s="99"/>
      <c r="AA133" s="99"/>
      <c r="AB133" s="99"/>
      <c r="AC133" s="10"/>
      <c r="AD133" s="99"/>
      <c r="AE133" s="103"/>
      <c r="AF133" s="16"/>
    </row>
    <row r="134" spans="1:32" x14ac:dyDescent="0.25">
      <c r="A134" s="10"/>
      <c r="B134" s="10"/>
      <c r="C134" s="53"/>
      <c r="D134" s="10"/>
      <c r="E134" s="10"/>
      <c r="F134" s="99"/>
      <c r="G134" s="10"/>
      <c r="H134" s="10"/>
      <c r="I134" s="100"/>
      <c r="J134" s="10"/>
      <c r="K134" s="99"/>
      <c r="L134" s="105" t="e">
        <f>VLOOKUP(K134,Species!$A$2:$D$2230,2,FALSE)</f>
        <v>#N/A</v>
      </c>
      <c r="M134" s="105" t="e">
        <f>VLOOKUP(K134,Species!$A$2:$D$2230,3,FALSE)</f>
        <v>#N/A</v>
      </c>
      <c r="N134" s="105" t="e">
        <f>VLOOKUP(K134,Species!$A$2:$D$2230,4,FALSE)</f>
        <v>#N/A</v>
      </c>
      <c r="O134" s="10"/>
      <c r="P134" s="10"/>
      <c r="Q134" s="101"/>
      <c r="R134" s="99"/>
      <c r="S134" s="99"/>
      <c r="T134" s="102"/>
      <c r="U134" s="102"/>
      <c r="V134" s="102"/>
      <c r="W134" s="102"/>
      <c r="X134" s="99"/>
      <c r="Y134" s="99"/>
      <c r="Z134" s="99"/>
      <c r="AA134" s="99"/>
      <c r="AB134" s="99"/>
      <c r="AC134" s="10"/>
      <c r="AD134" s="99"/>
      <c r="AE134" s="103"/>
      <c r="AF134" s="16"/>
    </row>
    <row r="135" spans="1:32" x14ac:dyDescent="0.25">
      <c r="A135" s="10"/>
      <c r="B135" s="10"/>
      <c r="C135" s="53"/>
      <c r="D135" s="10"/>
      <c r="E135" s="10"/>
      <c r="F135" s="99"/>
      <c r="G135" s="10"/>
      <c r="H135" s="10"/>
      <c r="I135" s="100"/>
      <c r="J135" s="10"/>
      <c r="K135" s="99"/>
      <c r="L135" s="105" t="e">
        <f>VLOOKUP(K135,Species!$A$2:$D$2230,2,FALSE)</f>
        <v>#N/A</v>
      </c>
      <c r="M135" s="105" t="e">
        <f>VLOOKUP(K135,Species!$A$2:$D$2230,3,FALSE)</f>
        <v>#N/A</v>
      </c>
      <c r="N135" s="105" t="e">
        <f>VLOOKUP(K135,Species!$A$2:$D$2230,4,FALSE)</f>
        <v>#N/A</v>
      </c>
      <c r="O135" s="10"/>
      <c r="P135" s="10"/>
      <c r="Q135" s="101"/>
      <c r="R135" s="99"/>
      <c r="S135" s="99"/>
      <c r="T135" s="102"/>
      <c r="U135" s="102"/>
      <c r="V135" s="102"/>
      <c r="W135" s="102"/>
      <c r="X135" s="99"/>
      <c r="Y135" s="99"/>
      <c r="Z135" s="99"/>
      <c r="AA135" s="99"/>
      <c r="AB135" s="99"/>
      <c r="AC135" s="10"/>
      <c r="AD135" s="99"/>
      <c r="AE135" s="103"/>
      <c r="AF135" s="16"/>
    </row>
    <row r="136" spans="1:32" x14ac:dyDescent="0.25">
      <c r="A136" s="10"/>
      <c r="B136" s="10"/>
      <c r="C136" s="53"/>
      <c r="D136" s="10"/>
      <c r="E136" s="10"/>
      <c r="F136" s="99"/>
      <c r="G136" s="10"/>
      <c r="H136" s="10"/>
      <c r="I136" s="100"/>
      <c r="J136" s="10"/>
      <c r="K136" s="99"/>
      <c r="L136" s="105" t="e">
        <f>VLOOKUP(K136,Species!$A$2:$D$2230,2,FALSE)</f>
        <v>#N/A</v>
      </c>
      <c r="M136" s="105" t="e">
        <f>VLOOKUP(K136,Species!$A$2:$D$2230,3,FALSE)</f>
        <v>#N/A</v>
      </c>
      <c r="N136" s="105" t="e">
        <f>VLOOKUP(K136,Species!$A$2:$D$2230,4,FALSE)</f>
        <v>#N/A</v>
      </c>
      <c r="O136" s="10"/>
      <c r="P136" s="10"/>
      <c r="Q136" s="101"/>
      <c r="R136" s="99"/>
      <c r="S136" s="99"/>
      <c r="T136" s="102"/>
      <c r="U136" s="102"/>
      <c r="V136" s="102"/>
      <c r="W136" s="102"/>
      <c r="X136" s="99"/>
      <c r="Y136" s="99"/>
      <c r="Z136" s="99"/>
      <c r="AA136" s="99"/>
      <c r="AB136" s="99"/>
      <c r="AC136" s="10"/>
      <c r="AD136" s="99"/>
      <c r="AE136" s="103"/>
      <c r="AF136" s="16"/>
    </row>
    <row r="137" spans="1:32" x14ac:dyDescent="0.25">
      <c r="A137" s="10"/>
      <c r="B137" s="10"/>
      <c r="C137" s="53"/>
      <c r="D137" s="10"/>
      <c r="E137" s="10"/>
      <c r="F137" s="99"/>
      <c r="G137" s="10"/>
      <c r="H137" s="10"/>
      <c r="I137" s="100"/>
      <c r="J137" s="10"/>
      <c r="K137" s="99"/>
      <c r="L137" s="105" t="e">
        <f>VLOOKUP(K137,Species!$A$2:$D$2230,2,FALSE)</f>
        <v>#N/A</v>
      </c>
      <c r="M137" s="105" t="e">
        <f>VLOOKUP(K137,Species!$A$2:$D$2230,3,FALSE)</f>
        <v>#N/A</v>
      </c>
      <c r="N137" s="105" t="e">
        <f>VLOOKUP(K137,Species!$A$2:$D$2230,4,FALSE)</f>
        <v>#N/A</v>
      </c>
      <c r="O137" s="10"/>
      <c r="P137" s="10"/>
      <c r="Q137" s="101"/>
      <c r="R137" s="99"/>
      <c r="S137" s="99"/>
      <c r="T137" s="102"/>
      <c r="U137" s="102"/>
      <c r="V137" s="102"/>
      <c r="W137" s="102"/>
      <c r="X137" s="99"/>
      <c r="Y137" s="99"/>
      <c r="Z137" s="99"/>
      <c r="AA137" s="99"/>
      <c r="AB137" s="99"/>
      <c r="AC137" s="10"/>
      <c r="AD137" s="99"/>
      <c r="AE137" s="103"/>
      <c r="AF137" s="16"/>
    </row>
    <row r="138" spans="1:32" x14ac:dyDescent="0.25">
      <c r="A138" s="54"/>
      <c r="B138" s="54"/>
      <c r="C138" s="53"/>
      <c r="D138" s="54"/>
      <c r="E138" s="54"/>
      <c r="F138" s="99"/>
      <c r="G138" s="54"/>
      <c r="H138" s="54"/>
      <c r="I138" s="100"/>
      <c r="J138" s="54"/>
      <c r="K138" s="99"/>
      <c r="L138" s="105" t="e">
        <f>VLOOKUP(K138,Species!$A$2:$D$2230,2,FALSE)</f>
        <v>#N/A</v>
      </c>
      <c r="M138" s="105" t="e">
        <f>VLOOKUP(K138,Species!$A$2:$D$2230,3,FALSE)</f>
        <v>#N/A</v>
      </c>
      <c r="N138" s="105" t="e">
        <f>VLOOKUP(K138,Species!$A$2:$D$2230,4,FALSE)</f>
        <v>#N/A</v>
      </c>
      <c r="O138" s="54"/>
      <c r="P138" s="54"/>
      <c r="Q138" s="101"/>
      <c r="R138" s="99"/>
      <c r="S138" s="99"/>
      <c r="T138" s="102"/>
      <c r="U138" s="102"/>
      <c r="V138" s="102"/>
      <c r="W138" s="102"/>
      <c r="X138" s="102"/>
      <c r="Y138" s="102"/>
      <c r="Z138" s="102"/>
      <c r="AA138" s="102"/>
      <c r="AB138" s="102"/>
      <c r="AC138" s="54"/>
      <c r="AD138" s="102"/>
      <c r="AE138" s="104"/>
      <c r="AF138" s="16"/>
    </row>
    <row r="139" spans="1:32" x14ac:dyDescent="0.25">
      <c r="A139" s="10"/>
      <c r="B139" s="10"/>
      <c r="C139" s="53"/>
      <c r="D139" s="10"/>
      <c r="E139" s="10"/>
      <c r="F139" s="99"/>
      <c r="G139" s="10"/>
      <c r="H139" s="10"/>
      <c r="I139" s="100"/>
      <c r="J139" s="10"/>
      <c r="K139" s="99"/>
      <c r="L139" s="105" t="e">
        <f>VLOOKUP(K139,Species!$A$2:$D$2230,2,FALSE)</f>
        <v>#N/A</v>
      </c>
      <c r="M139" s="105" t="e">
        <f>VLOOKUP(K139,Species!$A$2:$D$2230,3,FALSE)</f>
        <v>#N/A</v>
      </c>
      <c r="N139" s="105" t="e">
        <f>VLOOKUP(K139,Species!$A$2:$D$2230,4,FALSE)</f>
        <v>#N/A</v>
      </c>
      <c r="O139" s="10"/>
      <c r="P139" s="10"/>
      <c r="Q139" s="101"/>
      <c r="R139" s="99"/>
      <c r="S139" s="99"/>
      <c r="T139" s="102"/>
      <c r="U139" s="102"/>
      <c r="V139" s="102"/>
      <c r="W139" s="102"/>
      <c r="X139" s="99"/>
      <c r="Y139" s="99"/>
      <c r="Z139" s="99"/>
      <c r="AA139" s="99"/>
      <c r="AB139" s="99"/>
      <c r="AC139" s="10"/>
      <c r="AD139" s="99"/>
      <c r="AE139" s="103"/>
      <c r="AF139" s="16"/>
    </row>
    <row r="140" spans="1:32" x14ac:dyDescent="0.25">
      <c r="A140" s="10"/>
      <c r="B140" s="10"/>
      <c r="C140" s="53"/>
      <c r="D140" s="10"/>
      <c r="E140" s="10"/>
      <c r="F140" s="99"/>
      <c r="G140" s="10"/>
      <c r="H140" s="10"/>
      <c r="I140" s="100"/>
      <c r="J140" s="10"/>
      <c r="K140" s="99"/>
      <c r="L140" s="105" t="e">
        <f>VLOOKUP(K140,Species!$A$2:$D$2230,2,FALSE)</f>
        <v>#N/A</v>
      </c>
      <c r="M140" s="105" t="e">
        <f>VLOOKUP(K140,Species!$A$2:$D$2230,3,FALSE)</f>
        <v>#N/A</v>
      </c>
      <c r="N140" s="105" t="e">
        <f>VLOOKUP(K140,Species!$A$2:$D$2230,4,FALSE)</f>
        <v>#N/A</v>
      </c>
      <c r="O140" s="10"/>
      <c r="P140" s="10"/>
      <c r="Q140" s="101"/>
      <c r="R140" s="99"/>
      <c r="S140" s="99"/>
      <c r="T140" s="102"/>
      <c r="U140" s="102"/>
      <c r="V140" s="102"/>
      <c r="W140" s="102"/>
      <c r="X140" s="99"/>
      <c r="Y140" s="99"/>
      <c r="Z140" s="99"/>
      <c r="AA140" s="99"/>
      <c r="AB140" s="99"/>
      <c r="AC140" s="10"/>
      <c r="AD140" s="99"/>
      <c r="AE140" s="103"/>
      <c r="AF140" s="16"/>
    </row>
    <row r="141" spans="1:32" x14ac:dyDescent="0.25">
      <c r="A141" s="10"/>
      <c r="B141" s="10"/>
      <c r="C141" s="53"/>
      <c r="D141" s="10"/>
      <c r="E141" s="10"/>
      <c r="F141" s="99"/>
      <c r="G141" s="10"/>
      <c r="H141" s="10"/>
      <c r="I141" s="100"/>
      <c r="J141" s="10"/>
      <c r="K141" s="99"/>
      <c r="L141" s="105" t="e">
        <f>VLOOKUP(K141,Species!$A$2:$D$2230,2,FALSE)</f>
        <v>#N/A</v>
      </c>
      <c r="M141" s="105" t="e">
        <f>VLOOKUP(K141,Species!$A$2:$D$2230,3,FALSE)</f>
        <v>#N/A</v>
      </c>
      <c r="N141" s="105" t="e">
        <f>VLOOKUP(K141,Species!$A$2:$D$2230,4,FALSE)</f>
        <v>#N/A</v>
      </c>
      <c r="O141" s="10"/>
      <c r="P141" s="10"/>
      <c r="Q141" s="101"/>
      <c r="R141" s="99"/>
      <c r="S141" s="99"/>
      <c r="T141" s="102"/>
      <c r="U141" s="102"/>
      <c r="V141" s="102"/>
      <c r="W141" s="102"/>
      <c r="X141" s="99"/>
      <c r="Y141" s="99"/>
      <c r="Z141" s="99"/>
      <c r="AA141" s="99"/>
      <c r="AB141" s="99"/>
      <c r="AC141" s="10"/>
      <c r="AD141" s="99"/>
      <c r="AE141" s="103"/>
      <c r="AF141" s="16"/>
    </row>
    <row r="142" spans="1:32" x14ac:dyDescent="0.25">
      <c r="A142" s="10"/>
      <c r="B142" s="10"/>
      <c r="C142" s="53"/>
      <c r="D142" s="10"/>
      <c r="E142" s="10"/>
      <c r="F142" s="99"/>
      <c r="G142" s="10"/>
      <c r="H142" s="10"/>
      <c r="I142" s="100"/>
      <c r="J142" s="10"/>
      <c r="K142" s="99"/>
      <c r="L142" s="105" t="e">
        <f>VLOOKUP(K142,Species!$A$2:$D$2230,2,FALSE)</f>
        <v>#N/A</v>
      </c>
      <c r="M142" s="105" t="e">
        <f>VLOOKUP(K142,Species!$A$2:$D$2230,3,FALSE)</f>
        <v>#N/A</v>
      </c>
      <c r="N142" s="105" t="e">
        <f>VLOOKUP(K142,Species!$A$2:$D$2230,4,FALSE)</f>
        <v>#N/A</v>
      </c>
      <c r="O142" s="10"/>
      <c r="P142" s="10"/>
      <c r="Q142" s="101"/>
      <c r="R142" s="99"/>
      <c r="S142" s="99"/>
      <c r="T142" s="102"/>
      <c r="U142" s="102"/>
      <c r="V142" s="102"/>
      <c r="W142" s="102"/>
      <c r="X142" s="99"/>
      <c r="Y142" s="99"/>
      <c r="Z142" s="99"/>
      <c r="AA142" s="99"/>
      <c r="AB142" s="99"/>
      <c r="AC142" s="10"/>
      <c r="AD142" s="99"/>
      <c r="AE142" s="103"/>
      <c r="AF142" s="16"/>
    </row>
    <row r="143" spans="1:32" x14ac:dyDescent="0.25">
      <c r="A143" s="10"/>
      <c r="B143" s="10"/>
      <c r="C143" s="53"/>
      <c r="D143" s="10"/>
      <c r="E143" s="10"/>
      <c r="F143" s="99"/>
      <c r="G143" s="10"/>
      <c r="H143" s="10"/>
      <c r="I143" s="100"/>
      <c r="J143" s="10"/>
      <c r="K143" s="99"/>
      <c r="L143" s="105" t="e">
        <f>VLOOKUP(K143,Species!$A$2:$D$2230,2,FALSE)</f>
        <v>#N/A</v>
      </c>
      <c r="M143" s="105" t="e">
        <f>VLOOKUP(K143,Species!$A$2:$D$2230,3,FALSE)</f>
        <v>#N/A</v>
      </c>
      <c r="N143" s="105" t="e">
        <f>VLOOKUP(K143,Species!$A$2:$D$2230,4,FALSE)</f>
        <v>#N/A</v>
      </c>
      <c r="O143" s="10"/>
      <c r="P143" s="10"/>
      <c r="Q143" s="101"/>
      <c r="R143" s="99"/>
      <c r="S143" s="99"/>
      <c r="T143" s="102"/>
      <c r="U143" s="102"/>
      <c r="V143" s="102"/>
      <c r="W143" s="102"/>
      <c r="X143" s="99"/>
      <c r="Y143" s="99"/>
      <c r="Z143" s="99"/>
      <c r="AA143" s="99"/>
      <c r="AB143" s="99"/>
      <c r="AC143" s="10"/>
      <c r="AD143" s="99"/>
      <c r="AE143" s="103"/>
      <c r="AF143" s="16"/>
    </row>
    <row r="144" spans="1:32" x14ac:dyDescent="0.25">
      <c r="A144" s="10"/>
      <c r="B144" s="10"/>
      <c r="C144" s="53"/>
      <c r="D144" s="10"/>
      <c r="E144" s="10"/>
      <c r="F144" s="99"/>
      <c r="G144" s="10"/>
      <c r="H144" s="10"/>
      <c r="I144" s="100"/>
      <c r="J144" s="10"/>
      <c r="K144" s="99"/>
      <c r="L144" s="105" t="e">
        <f>VLOOKUP(K144,Species!$A$2:$D$2230,2,FALSE)</f>
        <v>#N/A</v>
      </c>
      <c r="M144" s="105" t="e">
        <f>VLOOKUP(K144,Species!$A$2:$D$2230,3,FALSE)</f>
        <v>#N/A</v>
      </c>
      <c r="N144" s="105" t="e">
        <f>VLOOKUP(K144,Species!$A$2:$D$2230,4,FALSE)</f>
        <v>#N/A</v>
      </c>
      <c r="O144" s="10"/>
      <c r="P144" s="10"/>
      <c r="Q144" s="101"/>
      <c r="R144" s="99"/>
      <c r="S144" s="99"/>
      <c r="T144" s="102"/>
      <c r="U144" s="102"/>
      <c r="V144" s="102"/>
      <c r="W144" s="102"/>
      <c r="X144" s="99"/>
      <c r="Y144" s="99"/>
      <c r="Z144" s="99"/>
      <c r="AA144" s="99"/>
      <c r="AB144" s="99"/>
      <c r="AC144" s="10"/>
      <c r="AD144" s="99"/>
      <c r="AE144" s="103"/>
      <c r="AF144" s="16"/>
    </row>
    <row r="145" spans="1:32" x14ac:dyDescent="0.25">
      <c r="A145" s="10"/>
      <c r="B145" s="10"/>
      <c r="C145" s="53"/>
      <c r="D145" s="10"/>
      <c r="E145" s="10"/>
      <c r="F145" s="99"/>
      <c r="G145" s="10"/>
      <c r="H145" s="10"/>
      <c r="I145" s="100"/>
      <c r="J145" s="10"/>
      <c r="K145" s="99"/>
      <c r="L145" s="105" t="e">
        <f>VLOOKUP(K145,Species!$A$2:$D$2230,2,FALSE)</f>
        <v>#N/A</v>
      </c>
      <c r="M145" s="105" t="e">
        <f>VLOOKUP(K145,Species!$A$2:$D$2230,3,FALSE)</f>
        <v>#N/A</v>
      </c>
      <c r="N145" s="105" t="e">
        <f>VLOOKUP(K145,Species!$A$2:$D$2230,4,FALSE)</f>
        <v>#N/A</v>
      </c>
      <c r="O145" s="10"/>
      <c r="P145" s="10"/>
      <c r="Q145" s="101"/>
      <c r="R145" s="99"/>
      <c r="S145" s="99"/>
      <c r="T145" s="102"/>
      <c r="U145" s="102"/>
      <c r="V145" s="102"/>
      <c r="W145" s="102"/>
      <c r="X145" s="99"/>
      <c r="Y145" s="99"/>
      <c r="Z145" s="99"/>
      <c r="AA145" s="99"/>
      <c r="AB145" s="99"/>
      <c r="AC145" s="10"/>
      <c r="AD145" s="99"/>
      <c r="AE145" s="103"/>
      <c r="AF145" s="16"/>
    </row>
    <row r="146" spans="1:32" x14ac:dyDescent="0.25">
      <c r="A146" s="10"/>
      <c r="B146" s="10"/>
      <c r="C146" s="53"/>
      <c r="D146" s="10"/>
      <c r="E146" s="10"/>
      <c r="F146" s="99"/>
      <c r="G146" s="10"/>
      <c r="H146" s="10"/>
      <c r="I146" s="100"/>
      <c r="J146" s="10"/>
      <c r="K146" s="99"/>
      <c r="L146" s="105" t="e">
        <f>VLOOKUP(K146,Species!$A$2:$D$2230,2,FALSE)</f>
        <v>#N/A</v>
      </c>
      <c r="M146" s="105" t="e">
        <f>VLOOKUP(K146,Species!$A$2:$D$2230,3,FALSE)</f>
        <v>#N/A</v>
      </c>
      <c r="N146" s="105" t="e">
        <f>VLOOKUP(K146,Species!$A$2:$D$2230,4,FALSE)</f>
        <v>#N/A</v>
      </c>
      <c r="O146" s="10"/>
      <c r="P146" s="10"/>
      <c r="Q146" s="101"/>
      <c r="R146" s="99"/>
      <c r="S146" s="99"/>
      <c r="T146" s="102"/>
      <c r="U146" s="102"/>
      <c r="V146" s="102"/>
      <c r="W146" s="102"/>
      <c r="X146" s="99"/>
      <c r="Y146" s="99"/>
      <c r="Z146" s="99"/>
      <c r="AA146" s="99"/>
      <c r="AB146" s="99"/>
      <c r="AC146" s="10"/>
      <c r="AD146" s="99"/>
      <c r="AE146" s="103"/>
      <c r="AF146" s="16"/>
    </row>
    <row r="147" spans="1:32" x14ac:dyDescent="0.25">
      <c r="A147" s="54"/>
      <c r="B147" s="54"/>
      <c r="C147" s="53"/>
      <c r="D147" s="54"/>
      <c r="E147" s="54"/>
      <c r="F147" s="99"/>
      <c r="G147" s="54"/>
      <c r="H147" s="54"/>
      <c r="I147" s="100"/>
      <c r="J147" s="54"/>
      <c r="K147" s="99"/>
      <c r="L147" s="105" t="e">
        <f>VLOOKUP(K147,Species!$A$2:$D$2230,2,FALSE)</f>
        <v>#N/A</v>
      </c>
      <c r="M147" s="105" t="e">
        <f>VLOOKUP(K147,Species!$A$2:$D$2230,3,FALSE)</f>
        <v>#N/A</v>
      </c>
      <c r="N147" s="105" t="e">
        <f>VLOOKUP(K147,Species!$A$2:$D$2230,4,FALSE)</f>
        <v>#N/A</v>
      </c>
      <c r="O147" s="54"/>
      <c r="P147" s="54"/>
      <c r="Q147" s="101"/>
      <c r="R147" s="99"/>
      <c r="S147" s="99"/>
      <c r="T147" s="102"/>
      <c r="U147" s="102"/>
      <c r="V147" s="102"/>
      <c r="W147" s="102"/>
      <c r="X147" s="102"/>
      <c r="Y147" s="102"/>
      <c r="Z147" s="102"/>
      <c r="AA147" s="102"/>
      <c r="AB147" s="102"/>
      <c r="AC147" s="54"/>
      <c r="AD147" s="102"/>
      <c r="AE147" s="104"/>
      <c r="AF147" s="16"/>
    </row>
    <row r="148" spans="1:32" x14ac:dyDescent="0.25">
      <c r="A148" s="10"/>
      <c r="B148" s="10"/>
      <c r="C148" s="53"/>
      <c r="D148" s="10"/>
      <c r="E148" s="10"/>
      <c r="F148" s="99"/>
      <c r="G148" s="10"/>
      <c r="H148" s="10"/>
      <c r="I148" s="100"/>
      <c r="J148" s="10"/>
      <c r="K148" s="99"/>
      <c r="L148" s="105" t="e">
        <f>VLOOKUP(K148,Species!$A$2:$D$2230,2,FALSE)</f>
        <v>#N/A</v>
      </c>
      <c r="M148" s="105" t="e">
        <f>VLOOKUP(K148,Species!$A$2:$D$2230,3,FALSE)</f>
        <v>#N/A</v>
      </c>
      <c r="N148" s="105" t="e">
        <f>VLOOKUP(K148,Species!$A$2:$D$2230,4,FALSE)</f>
        <v>#N/A</v>
      </c>
      <c r="O148" s="10"/>
      <c r="P148" s="10"/>
      <c r="Q148" s="101"/>
      <c r="R148" s="99"/>
      <c r="S148" s="99"/>
      <c r="T148" s="102"/>
      <c r="U148" s="102"/>
      <c r="V148" s="102"/>
      <c r="W148" s="102"/>
      <c r="X148" s="99"/>
      <c r="Y148" s="99"/>
      <c r="Z148" s="99"/>
      <c r="AA148" s="99"/>
      <c r="AB148" s="99"/>
      <c r="AC148" s="10"/>
      <c r="AD148" s="99"/>
      <c r="AE148" s="103"/>
      <c r="AF148" s="16"/>
    </row>
    <row r="149" spans="1:32" x14ac:dyDescent="0.25">
      <c r="A149" s="10"/>
      <c r="B149" s="10"/>
      <c r="C149" s="53"/>
      <c r="D149" s="10"/>
      <c r="E149" s="10"/>
      <c r="F149" s="99"/>
      <c r="G149" s="10"/>
      <c r="H149" s="10"/>
      <c r="I149" s="100"/>
      <c r="J149" s="10"/>
      <c r="K149" s="99"/>
      <c r="L149" s="105" t="e">
        <f>VLOOKUP(K149,Species!$A$2:$D$2230,2,FALSE)</f>
        <v>#N/A</v>
      </c>
      <c r="M149" s="105" t="e">
        <f>VLOOKUP(K149,Species!$A$2:$D$2230,3,FALSE)</f>
        <v>#N/A</v>
      </c>
      <c r="N149" s="105" t="e">
        <f>VLOOKUP(K149,Species!$A$2:$D$2230,4,FALSE)</f>
        <v>#N/A</v>
      </c>
      <c r="O149" s="10"/>
      <c r="P149" s="10"/>
      <c r="Q149" s="101"/>
      <c r="R149" s="99"/>
      <c r="S149" s="99"/>
      <c r="T149" s="102"/>
      <c r="U149" s="102"/>
      <c r="V149" s="102"/>
      <c r="W149" s="102"/>
      <c r="X149" s="99"/>
      <c r="Y149" s="99"/>
      <c r="Z149" s="99"/>
      <c r="AA149" s="99"/>
      <c r="AB149" s="99"/>
      <c r="AC149" s="10"/>
      <c r="AD149" s="99"/>
      <c r="AE149" s="103"/>
      <c r="AF149" s="16"/>
    </row>
    <row r="150" spans="1:32" x14ac:dyDescent="0.25">
      <c r="A150" s="10"/>
      <c r="B150" s="10"/>
      <c r="C150" s="53"/>
      <c r="D150" s="10"/>
      <c r="E150" s="10"/>
      <c r="F150" s="99"/>
      <c r="G150" s="10"/>
      <c r="H150" s="10"/>
      <c r="I150" s="100"/>
      <c r="J150" s="10"/>
      <c r="K150" s="99"/>
      <c r="L150" s="105" t="e">
        <f>VLOOKUP(K150,Species!$A$2:$D$2230,2,FALSE)</f>
        <v>#N/A</v>
      </c>
      <c r="M150" s="105" t="e">
        <f>VLOOKUP(K150,Species!$A$2:$D$2230,3,FALSE)</f>
        <v>#N/A</v>
      </c>
      <c r="N150" s="105" t="e">
        <f>VLOOKUP(K150,Species!$A$2:$D$2230,4,FALSE)</f>
        <v>#N/A</v>
      </c>
      <c r="O150" s="10"/>
      <c r="P150" s="10"/>
      <c r="Q150" s="101"/>
      <c r="R150" s="99"/>
      <c r="S150" s="99"/>
      <c r="T150" s="102"/>
      <c r="U150" s="102"/>
      <c r="V150" s="102"/>
      <c r="W150" s="102"/>
      <c r="X150" s="99"/>
      <c r="Y150" s="99"/>
      <c r="Z150" s="99"/>
      <c r="AA150" s="99"/>
      <c r="AB150" s="99"/>
      <c r="AC150" s="10"/>
      <c r="AD150" s="99"/>
      <c r="AE150" s="103"/>
      <c r="AF150" s="16"/>
    </row>
    <row r="151" spans="1:32" x14ac:dyDescent="0.25">
      <c r="A151" s="10"/>
      <c r="B151" s="10"/>
      <c r="C151" s="53"/>
      <c r="D151" s="10"/>
      <c r="E151" s="10"/>
      <c r="F151" s="99"/>
      <c r="G151" s="10"/>
      <c r="H151" s="10"/>
      <c r="I151" s="100"/>
      <c r="J151" s="10"/>
      <c r="K151" s="99"/>
      <c r="L151" s="105" t="e">
        <f>VLOOKUP(K151,Species!$A$2:$D$2230,2,FALSE)</f>
        <v>#N/A</v>
      </c>
      <c r="M151" s="105" t="e">
        <f>VLOOKUP(K151,Species!$A$2:$D$2230,3,FALSE)</f>
        <v>#N/A</v>
      </c>
      <c r="N151" s="105" t="e">
        <f>VLOOKUP(K151,Species!$A$2:$D$2230,4,FALSE)</f>
        <v>#N/A</v>
      </c>
      <c r="O151" s="10"/>
      <c r="P151" s="10"/>
      <c r="Q151" s="101"/>
      <c r="R151" s="99"/>
      <c r="S151" s="99"/>
      <c r="T151" s="102"/>
      <c r="U151" s="102"/>
      <c r="V151" s="102"/>
      <c r="W151" s="102"/>
      <c r="X151" s="99"/>
      <c r="Y151" s="99"/>
      <c r="Z151" s="99"/>
      <c r="AA151" s="99"/>
      <c r="AB151" s="99"/>
      <c r="AC151" s="10"/>
      <c r="AD151" s="99"/>
      <c r="AE151" s="103"/>
      <c r="AF151" s="16"/>
    </row>
    <row r="152" spans="1:32" x14ac:dyDescent="0.25">
      <c r="A152" s="10"/>
      <c r="B152" s="10"/>
      <c r="C152" s="53"/>
      <c r="D152" s="10"/>
      <c r="E152" s="10"/>
      <c r="F152" s="99"/>
      <c r="G152" s="10"/>
      <c r="H152" s="10"/>
      <c r="I152" s="100"/>
      <c r="J152" s="10"/>
      <c r="K152" s="99"/>
      <c r="L152" s="105" t="e">
        <f>VLOOKUP(K152,Species!$A$2:$D$2230,2,FALSE)</f>
        <v>#N/A</v>
      </c>
      <c r="M152" s="105" t="e">
        <f>VLOOKUP(K152,Species!$A$2:$D$2230,3,FALSE)</f>
        <v>#N/A</v>
      </c>
      <c r="N152" s="105" t="e">
        <f>VLOOKUP(K152,Species!$A$2:$D$2230,4,FALSE)</f>
        <v>#N/A</v>
      </c>
      <c r="O152" s="10"/>
      <c r="P152" s="10"/>
      <c r="Q152" s="101"/>
      <c r="R152" s="99"/>
      <c r="S152" s="99"/>
      <c r="T152" s="102"/>
      <c r="U152" s="102"/>
      <c r="V152" s="102"/>
      <c r="W152" s="102"/>
      <c r="X152" s="99"/>
      <c r="Y152" s="99"/>
      <c r="Z152" s="99"/>
      <c r="AA152" s="99"/>
      <c r="AB152" s="99"/>
      <c r="AC152" s="10"/>
      <c r="AD152" s="99"/>
      <c r="AE152" s="103"/>
      <c r="AF152" s="16"/>
    </row>
    <row r="153" spans="1:32" x14ac:dyDescent="0.25">
      <c r="A153" s="10"/>
      <c r="B153" s="10"/>
      <c r="C153" s="53"/>
      <c r="D153" s="10"/>
      <c r="E153" s="10"/>
      <c r="F153" s="99"/>
      <c r="G153" s="10"/>
      <c r="H153" s="10"/>
      <c r="I153" s="100"/>
      <c r="J153" s="10"/>
      <c r="K153" s="99"/>
      <c r="L153" s="105" t="e">
        <f>VLOOKUP(K153,Species!$A$2:$D$2230,2,FALSE)</f>
        <v>#N/A</v>
      </c>
      <c r="M153" s="105" t="e">
        <f>VLOOKUP(K153,Species!$A$2:$D$2230,3,FALSE)</f>
        <v>#N/A</v>
      </c>
      <c r="N153" s="105" t="e">
        <f>VLOOKUP(K153,Species!$A$2:$D$2230,4,FALSE)</f>
        <v>#N/A</v>
      </c>
      <c r="O153" s="10"/>
      <c r="P153" s="10"/>
      <c r="Q153" s="101"/>
      <c r="R153" s="99"/>
      <c r="S153" s="99"/>
      <c r="T153" s="102"/>
      <c r="U153" s="102"/>
      <c r="V153" s="102"/>
      <c r="W153" s="102"/>
      <c r="X153" s="99"/>
      <c r="Y153" s="99"/>
      <c r="Z153" s="99"/>
      <c r="AA153" s="99"/>
      <c r="AB153" s="99"/>
      <c r="AC153" s="10"/>
      <c r="AD153" s="99"/>
      <c r="AE153" s="103"/>
      <c r="AF153" s="16"/>
    </row>
    <row r="154" spans="1:32" x14ac:dyDescent="0.25">
      <c r="A154" s="10"/>
      <c r="B154" s="10"/>
      <c r="C154" s="53"/>
      <c r="D154" s="10"/>
      <c r="E154" s="10"/>
      <c r="F154" s="99"/>
      <c r="G154" s="10"/>
      <c r="H154" s="10"/>
      <c r="I154" s="100"/>
      <c r="J154" s="10"/>
      <c r="K154" s="99"/>
      <c r="L154" s="105" t="e">
        <f>VLOOKUP(K154,Species!$A$2:$D$2230,2,FALSE)</f>
        <v>#N/A</v>
      </c>
      <c r="M154" s="105" t="e">
        <f>VLOOKUP(K154,Species!$A$2:$D$2230,3,FALSE)</f>
        <v>#N/A</v>
      </c>
      <c r="N154" s="105" t="e">
        <f>VLOOKUP(K154,Species!$A$2:$D$2230,4,FALSE)</f>
        <v>#N/A</v>
      </c>
      <c r="O154" s="10"/>
      <c r="P154" s="10"/>
      <c r="Q154" s="101"/>
      <c r="R154" s="99"/>
      <c r="S154" s="99"/>
      <c r="T154" s="102"/>
      <c r="U154" s="102"/>
      <c r="V154" s="102"/>
      <c r="W154" s="102"/>
      <c r="X154" s="99"/>
      <c r="Y154" s="99"/>
      <c r="Z154" s="99"/>
      <c r="AA154" s="99"/>
      <c r="AB154" s="99"/>
      <c r="AC154" s="10"/>
      <c r="AD154" s="99"/>
      <c r="AE154" s="103"/>
      <c r="AF154" s="16"/>
    </row>
    <row r="155" spans="1:32" x14ac:dyDescent="0.25">
      <c r="A155" s="10"/>
      <c r="B155" s="10"/>
      <c r="C155" s="53"/>
      <c r="D155" s="10"/>
      <c r="E155" s="10"/>
      <c r="F155" s="99"/>
      <c r="G155" s="10"/>
      <c r="H155" s="10"/>
      <c r="I155" s="100"/>
      <c r="J155" s="10"/>
      <c r="K155" s="99"/>
      <c r="L155" s="105" t="e">
        <f>VLOOKUP(K155,Species!$A$2:$D$2230,2,FALSE)</f>
        <v>#N/A</v>
      </c>
      <c r="M155" s="105" t="e">
        <f>VLOOKUP(K155,Species!$A$2:$D$2230,3,FALSE)</f>
        <v>#N/A</v>
      </c>
      <c r="N155" s="105" t="e">
        <f>VLOOKUP(K155,Species!$A$2:$D$2230,4,FALSE)</f>
        <v>#N/A</v>
      </c>
      <c r="O155" s="10"/>
      <c r="P155" s="10"/>
      <c r="Q155" s="101"/>
      <c r="R155" s="99"/>
      <c r="S155" s="99"/>
      <c r="T155" s="102"/>
      <c r="U155" s="102"/>
      <c r="V155" s="102"/>
      <c r="W155" s="102"/>
      <c r="X155" s="99"/>
      <c r="Y155" s="99"/>
      <c r="Z155" s="99"/>
      <c r="AA155" s="99"/>
      <c r="AB155" s="99"/>
      <c r="AC155" s="10"/>
      <c r="AD155" s="99"/>
      <c r="AE155" s="103"/>
      <c r="AF155" s="16"/>
    </row>
    <row r="156" spans="1:32" x14ac:dyDescent="0.25">
      <c r="A156" s="54"/>
      <c r="B156" s="54"/>
      <c r="C156" s="53"/>
      <c r="D156" s="54"/>
      <c r="E156" s="54"/>
      <c r="F156" s="99"/>
      <c r="G156" s="54"/>
      <c r="H156" s="54"/>
      <c r="I156" s="100"/>
      <c r="J156" s="54"/>
      <c r="K156" s="99"/>
      <c r="L156" s="105" t="e">
        <f>VLOOKUP(K156,Species!$A$2:$D$2230,2,FALSE)</f>
        <v>#N/A</v>
      </c>
      <c r="M156" s="105" t="e">
        <f>VLOOKUP(K156,Species!$A$2:$D$2230,3,FALSE)</f>
        <v>#N/A</v>
      </c>
      <c r="N156" s="105" t="e">
        <f>VLOOKUP(K156,Species!$A$2:$D$2230,4,FALSE)</f>
        <v>#N/A</v>
      </c>
      <c r="O156" s="54"/>
      <c r="P156" s="54"/>
      <c r="Q156" s="101"/>
      <c r="R156" s="99"/>
      <c r="S156" s="99"/>
      <c r="T156" s="102"/>
      <c r="U156" s="102"/>
      <c r="V156" s="102"/>
      <c r="W156" s="102"/>
      <c r="X156" s="102"/>
      <c r="Y156" s="102"/>
      <c r="Z156" s="102"/>
      <c r="AA156" s="102"/>
      <c r="AB156" s="102"/>
      <c r="AC156" s="54"/>
      <c r="AD156" s="102"/>
      <c r="AE156" s="104"/>
      <c r="AF156" s="16"/>
    </row>
    <row r="157" spans="1:32" x14ac:dyDescent="0.25">
      <c r="A157" s="10"/>
      <c r="B157" s="10"/>
      <c r="C157" s="53"/>
      <c r="D157" s="10"/>
      <c r="E157" s="10"/>
      <c r="F157" s="99"/>
      <c r="G157" s="10"/>
      <c r="H157" s="10"/>
      <c r="I157" s="100"/>
      <c r="J157" s="10"/>
      <c r="K157" s="99"/>
      <c r="L157" s="105" t="e">
        <f>VLOOKUP(K157,Species!$A$2:$D$2230,2,FALSE)</f>
        <v>#N/A</v>
      </c>
      <c r="M157" s="105" t="e">
        <f>VLOOKUP(K157,Species!$A$2:$D$2230,3,FALSE)</f>
        <v>#N/A</v>
      </c>
      <c r="N157" s="105" t="e">
        <f>VLOOKUP(K157,Species!$A$2:$D$2230,4,FALSE)</f>
        <v>#N/A</v>
      </c>
      <c r="O157" s="10"/>
      <c r="P157" s="10"/>
      <c r="Q157" s="101"/>
      <c r="R157" s="99"/>
      <c r="S157" s="99"/>
      <c r="T157" s="102"/>
      <c r="U157" s="102"/>
      <c r="V157" s="102"/>
      <c r="W157" s="102"/>
      <c r="X157" s="99"/>
      <c r="Y157" s="99"/>
      <c r="Z157" s="99"/>
      <c r="AA157" s="99"/>
      <c r="AB157" s="99"/>
      <c r="AC157" s="10"/>
      <c r="AD157" s="99"/>
      <c r="AE157" s="103"/>
      <c r="AF157" s="16"/>
    </row>
    <row r="158" spans="1:32" x14ac:dyDescent="0.25">
      <c r="A158" s="10"/>
      <c r="B158" s="10"/>
      <c r="C158" s="53"/>
      <c r="D158" s="10"/>
      <c r="E158" s="10"/>
      <c r="F158" s="99"/>
      <c r="G158" s="10"/>
      <c r="H158" s="10"/>
      <c r="I158" s="100"/>
      <c r="J158" s="10"/>
      <c r="K158" s="99"/>
      <c r="L158" s="105" t="e">
        <f>VLOOKUP(K158,Species!$A$2:$D$2230,2,FALSE)</f>
        <v>#N/A</v>
      </c>
      <c r="M158" s="105" t="e">
        <f>VLOOKUP(K158,Species!$A$2:$D$2230,3,FALSE)</f>
        <v>#N/A</v>
      </c>
      <c r="N158" s="105" t="e">
        <f>VLOOKUP(K158,Species!$A$2:$D$2230,4,FALSE)</f>
        <v>#N/A</v>
      </c>
      <c r="O158" s="10"/>
      <c r="P158" s="10"/>
      <c r="Q158" s="101"/>
      <c r="R158" s="99"/>
      <c r="S158" s="99"/>
      <c r="T158" s="102"/>
      <c r="U158" s="102"/>
      <c r="V158" s="102"/>
      <c r="W158" s="102"/>
      <c r="X158" s="99"/>
      <c r="Y158" s="99"/>
      <c r="Z158" s="99"/>
      <c r="AA158" s="99"/>
      <c r="AB158" s="99"/>
      <c r="AC158" s="10"/>
      <c r="AD158" s="99"/>
      <c r="AE158" s="103"/>
      <c r="AF158" s="16"/>
    </row>
    <row r="159" spans="1:32" x14ac:dyDescent="0.25">
      <c r="A159" s="10"/>
      <c r="B159" s="10"/>
      <c r="C159" s="53"/>
      <c r="D159" s="10"/>
      <c r="E159" s="10"/>
      <c r="F159" s="99"/>
      <c r="G159" s="10"/>
      <c r="H159" s="10"/>
      <c r="I159" s="100"/>
      <c r="J159" s="10"/>
      <c r="K159" s="99"/>
      <c r="L159" s="105" t="e">
        <f>VLOOKUP(K159,Species!$A$2:$D$2230,2,FALSE)</f>
        <v>#N/A</v>
      </c>
      <c r="M159" s="105" t="e">
        <f>VLOOKUP(K159,Species!$A$2:$D$2230,3,FALSE)</f>
        <v>#N/A</v>
      </c>
      <c r="N159" s="105" t="e">
        <f>VLOOKUP(K159,Species!$A$2:$D$2230,4,FALSE)</f>
        <v>#N/A</v>
      </c>
      <c r="O159" s="10"/>
      <c r="P159" s="10"/>
      <c r="Q159" s="101"/>
      <c r="R159" s="99"/>
      <c r="S159" s="99"/>
      <c r="T159" s="102"/>
      <c r="U159" s="102"/>
      <c r="V159" s="102"/>
      <c r="W159" s="102"/>
      <c r="X159" s="99"/>
      <c r="Y159" s="99"/>
      <c r="Z159" s="99"/>
      <c r="AA159" s="99"/>
      <c r="AB159" s="99"/>
      <c r="AC159" s="10"/>
      <c r="AD159" s="99"/>
      <c r="AE159" s="103"/>
      <c r="AF159" s="16"/>
    </row>
    <row r="160" spans="1:32" x14ac:dyDescent="0.25">
      <c r="A160" s="10"/>
      <c r="B160" s="10"/>
      <c r="C160" s="53"/>
      <c r="D160" s="10"/>
      <c r="E160" s="10"/>
      <c r="F160" s="99"/>
      <c r="G160" s="10"/>
      <c r="H160" s="10"/>
      <c r="I160" s="100"/>
      <c r="J160" s="10"/>
      <c r="K160" s="99"/>
      <c r="L160" s="105" t="e">
        <f>VLOOKUP(K160,Species!$A$2:$D$2230,2,FALSE)</f>
        <v>#N/A</v>
      </c>
      <c r="M160" s="105" t="e">
        <f>VLOOKUP(K160,Species!$A$2:$D$2230,3,FALSE)</f>
        <v>#N/A</v>
      </c>
      <c r="N160" s="105" t="e">
        <f>VLOOKUP(K160,Species!$A$2:$D$2230,4,FALSE)</f>
        <v>#N/A</v>
      </c>
      <c r="O160" s="10"/>
      <c r="P160" s="10"/>
      <c r="Q160" s="101"/>
      <c r="R160" s="99"/>
      <c r="S160" s="99"/>
      <c r="T160" s="102"/>
      <c r="U160" s="102"/>
      <c r="V160" s="102"/>
      <c r="W160" s="102"/>
      <c r="X160" s="99"/>
      <c r="Y160" s="99"/>
      <c r="Z160" s="99"/>
      <c r="AA160" s="99"/>
      <c r="AB160" s="99"/>
      <c r="AC160" s="10"/>
      <c r="AD160" s="99"/>
      <c r="AE160" s="103"/>
      <c r="AF160" s="16"/>
    </row>
    <row r="161" spans="1:32" x14ac:dyDescent="0.25">
      <c r="A161" s="10"/>
      <c r="B161" s="10"/>
      <c r="C161" s="53"/>
      <c r="D161" s="10"/>
      <c r="E161" s="10"/>
      <c r="F161" s="99"/>
      <c r="G161" s="10"/>
      <c r="H161" s="10"/>
      <c r="I161" s="100"/>
      <c r="J161" s="10"/>
      <c r="K161" s="99"/>
      <c r="L161" s="105" t="e">
        <f>VLOOKUP(K161,Species!$A$2:$D$2230,2,FALSE)</f>
        <v>#N/A</v>
      </c>
      <c r="M161" s="105" t="e">
        <f>VLOOKUP(K161,Species!$A$2:$D$2230,3,FALSE)</f>
        <v>#N/A</v>
      </c>
      <c r="N161" s="105" t="e">
        <f>VLOOKUP(K161,Species!$A$2:$D$2230,4,FALSE)</f>
        <v>#N/A</v>
      </c>
      <c r="O161" s="10"/>
      <c r="P161" s="10"/>
      <c r="Q161" s="101"/>
      <c r="R161" s="99"/>
      <c r="S161" s="99"/>
      <c r="T161" s="102"/>
      <c r="U161" s="102"/>
      <c r="V161" s="102"/>
      <c r="W161" s="102"/>
      <c r="X161" s="99"/>
      <c r="Y161" s="99"/>
      <c r="Z161" s="99"/>
      <c r="AA161" s="99"/>
      <c r="AB161" s="99"/>
      <c r="AC161" s="10"/>
      <c r="AD161" s="99"/>
      <c r="AE161" s="103"/>
      <c r="AF161" s="16"/>
    </row>
    <row r="162" spans="1:32" x14ac:dyDescent="0.25">
      <c r="A162" s="10"/>
      <c r="B162" s="10"/>
      <c r="C162" s="53"/>
      <c r="D162" s="10"/>
      <c r="E162" s="10"/>
      <c r="F162" s="99"/>
      <c r="G162" s="10"/>
      <c r="H162" s="10"/>
      <c r="I162" s="100"/>
      <c r="J162" s="10"/>
      <c r="K162" s="99"/>
      <c r="L162" s="105" t="e">
        <f>VLOOKUP(K162,Species!$A$2:$D$2230,2,FALSE)</f>
        <v>#N/A</v>
      </c>
      <c r="M162" s="105" t="e">
        <f>VLOOKUP(K162,Species!$A$2:$D$2230,3,FALSE)</f>
        <v>#N/A</v>
      </c>
      <c r="N162" s="105" t="e">
        <f>VLOOKUP(K162,Species!$A$2:$D$2230,4,FALSE)</f>
        <v>#N/A</v>
      </c>
      <c r="O162" s="10"/>
      <c r="P162" s="10"/>
      <c r="Q162" s="101"/>
      <c r="R162" s="99"/>
      <c r="S162" s="99"/>
      <c r="T162" s="102"/>
      <c r="U162" s="102"/>
      <c r="V162" s="102"/>
      <c r="W162" s="102"/>
      <c r="X162" s="99"/>
      <c r="Y162" s="99"/>
      <c r="Z162" s="99"/>
      <c r="AA162" s="99"/>
      <c r="AB162" s="99"/>
      <c r="AC162" s="10"/>
      <c r="AD162" s="99"/>
      <c r="AE162" s="103"/>
      <c r="AF162" s="16"/>
    </row>
    <row r="163" spans="1:32" x14ac:dyDescent="0.25">
      <c r="A163" s="10"/>
      <c r="B163" s="10"/>
      <c r="C163" s="53"/>
      <c r="D163" s="10"/>
      <c r="E163" s="10"/>
      <c r="F163" s="99"/>
      <c r="G163" s="10"/>
      <c r="H163" s="10"/>
      <c r="I163" s="100"/>
      <c r="J163" s="10"/>
      <c r="K163" s="99"/>
      <c r="L163" s="105" t="e">
        <f>VLOOKUP(K163,Species!$A$2:$D$2230,2,FALSE)</f>
        <v>#N/A</v>
      </c>
      <c r="M163" s="105" t="e">
        <f>VLOOKUP(K163,Species!$A$2:$D$2230,3,FALSE)</f>
        <v>#N/A</v>
      </c>
      <c r="N163" s="105" t="e">
        <f>VLOOKUP(K163,Species!$A$2:$D$2230,4,FALSE)</f>
        <v>#N/A</v>
      </c>
      <c r="O163" s="10"/>
      <c r="P163" s="10"/>
      <c r="Q163" s="101"/>
      <c r="R163" s="99"/>
      <c r="S163" s="99"/>
      <c r="T163" s="102"/>
      <c r="U163" s="102"/>
      <c r="V163" s="102"/>
      <c r="W163" s="102"/>
      <c r="X163" s="99"/>
      <c r="Y163" s="99"/>
      <c r="Z163" s="99"/>
      <c r="AA163" s="99"/>
      <c r="AB163" s="99"/>
      <c r="AC163" s="10"/>
      <c r="AD163" s="99"/>
      <c r="AE163" s="103"/>
      <c r="AF163" s="16"/>
    </row>
    <row r="164" spans="1:32" x14ac:dyDescent="0.25">
      <c r="A164" s="10"/>
      <c r="B164" s="10"/>
      <c r="C164" s="53"/>
      <c r="D164" s="10"/>
      <c r="E164" s="10"/>
      <c r="F164" s="99"/>
      <c r="G164" s="10"/>
      <c r="H164" s="10"/>
      <c r="I164" s="100"/>
      <c r="J164" s="10"/>
      <c r="K164" s="99"/>
      <c r="L164" s="105" t="e">
        <f>VLOOKUP(K164,Species!$A$2:$D$2230,2,FALSE)</f>
        <v>#N/A</v>
      </c>
      <c r="M164" s="105" t="e">
        <f>VLOOKUP(K164,Species!$A$2:$D$2230,3,FALSE)</f>
        <v>#N/A</v>
      </c>
      <c r="N164" s="105" t="e">
        <f>VLOOKUP(K164,Species!$A$2:$D$2230,4,FALSE)</f>
        <v>#N/A</v>
      </c>
      <c r="O164" s="10"/>
      <c r="P164" s="10"/>
      <c r="Q164" s="101"/>
      <c r="R164" s="99"/>
      <c r="S164" s="99"/>
      <c r="T164" s="102"/>
      <c r="U164" s="102"/>
      <c r="V164" s="102"/>
      <c r="W164" s="102"/>
      <c r="X164" s="99"/>
      <c r="Y164" s="99"/>
      <c r="Z164" s="99"/>
      <c r="AA164" s="99"/>
      <c r="AB164" s="99"/>
      <c r="AC164" s="10"/>
      <c r="AD164" s="99"/>
      <c r="AE164" s="103"/>
      <c r="AF164" s="16"/>
    </row>
    <row r="165" spans="1:32" x14ac:dyDescent="0.25">
      <c r="A165" s="54"/>
      <c r="B165" s="54"/>
      <c r="C165" s="53"/>
      <c r="D165" s="54"/>
      <c r="E165" s="54"/>
      <c r="F165" s="99"/>
      <c r="G165" s="54"/>
      <c r="H165" s="54"/>
      <c r="I165" s="100"/>
      <c r="J165" s="54"/>
      <c r="K165" s="99"/>
      <c r="L165" s="105" t="e">
        <f>VLOOKUP(K165,Species!$A$2:$D$2230,2,FALSE)</f>
        <v>#N/A</v>
      </c>
      <c r="M165" s="105" t="e">
        <f>VLOOKUP(K165,Species!$A$2:$D$2230,3,FALSE)</f>
        <v>#N/A</v>
      </c>
      <c r="N165" s="105" t="e">
        <f>VLOOKUP(K165,Species!$A$2:$D$2230,4,FALSE)</f>
        <v>#N/A</v>
      </c>
      <c r="O165" s="54"/>
      <c r="P165" s="54"/>
      <c r="Q165" s="101"/>
      <c r="R165" s="99"/>
      <c r="S165" s="99"/>
      <c r="T165" s="102"/>
      <c r="U165" s="102"/>
      <c r="V165" s="102"/>
      <c r="W165" s="102"/>
      <c r="X165" s="102"/>
      <c r="Y165" s="102"/>
      <c r="Z165" s="102"/>
      <c r="AA165" s="102"/>
      <c r="AB165" s="102"/>
      <c r="AC165" s="54"/>
      <c r="AD165" s="102"/>
      <c r="AE165" s="104"/>
      <c r="AF165" s="16"/>
    </row>
    <row r="166" spans="1:32" x14ac:dyDescent="0.25">
      <c r="A166" s="10"/>
      <c r="B166" s="10"/>
      <c r="C166" s="53"/>
      <c r="D166" s="10"/>
      <c r="E166" s="10"/>
      <c r="F166" s="99"/>
      <c r="G166" s="10"/>
      <c r="H166" s="10"/>
      <c r="I166" s="100"/>
      <c r="J166" s="10"/>
      <c r="K166" s="99"/>
      <c r="L166" s="105" t="e">
        <f>VLOOKUP(K166,Species!$A$2:$D$2230,2,FALSE)</f>
        <v>#N/A</v>
      </c>
      <c r="M166" s="105" t="e">
        <f>VLOOKUP(K166,Species!$A$2:$D$2230,3,FALSE)</f>
        <v>#N/A</v>
      </c>
      <c r="N166" s="105" t="e">
        <f>VLOOKUP(K166,Species!$A$2:$D$2230,4,FALSE)</f>
        <v>#N/A</v>
      </c>
      <c r="O166" s="10"/>
      <c r="P166" s="10"/>
      <c r="Q166" s="101"/>
      <c r="R166" s="99"/>
      <c r="S166" s="99"/>
      <c r="T166" s="102"/>
      <c r="U166" s="102"/>
      <c r="V166" s="102"/>
      <c r="W166" s="102"/>
      <c r="X166" s="99"/>
      <c r="Y166" s="99"/>
      <c r="Z166" s="99"/>
      <c r="AA166" s="99"/>
      <c r="AB166" s="99"/>
      <c r="AC166" s="10"/>
      <c r="AD166" s="99"/>
      <c r="AE166" s="103"/>
      <c r="AF166" s="16"/>
    </row>
    <row r="167" spans="1:32" x14ac:dyDescent="0.25">
      <c r="A167" s="10"/>
      <c r="B167" s="10"/>
      <c r="C167" s="53"/>
      <c r="D167" s="10"/>
      <c r="E167" s="10"/>
      <c r="F167" s="99"/>
      <c r="G167" s="10"/>
      <c r="H167" s="10"/>
      <c r="I167" s="100"/>
      <c r="J167" s="10"/>
      <c r="K167" s="99"/>
      <c r="L167" s="105" t="e">
        <f>VLOOKUP(K167,Species!$A$2:$D$2230,2,FALSE)</f>
        <v>#N/A</v>
      </c>
      <c r="M167" s="105" t="e">
        <f>VLOOKUP(K167,Species!$A$2:$D$2230,3,FALSE)</f>
        <v>#N/A</v>
      </c>
      <c r="N167" s="105" t="e">
        <f>VLOOKUP(K167,Species!$A$2:$D$2230,4,FALSE)</f>
        <v>#N/A</v>
      </c>
      <c r="O167" s="10"/>
      <c r="P167" s="10"/>
      <c r="Q167" s="101"/>
      <c r="R167" s="99"/>
      <c r="S167" s="99"/>
      <c r="T167" s="102"/>
      <c r="U167" s="102"/>
      <c r="V167" s="102"/>
      <c r="W167" s="102"/>
      <c r="X167" s="99"/>
      <c r="Y167" s="99"/>
      <c r="Z167" s="99"/>
      <c r="AA167" s="99"/>
      <c r="AB167" s="99"/>
      <c r="AC167" s="10"/>
      <c r="AD167" s="99"/>
      <c r="AE167" s="103"/>
      <c r="AF167" s="16"/>
    </row>
    <row r="168" spans="1:32" x14ac:dyDescent="0.25">
      <c r="A168" s="10"/>
      <c r="B168" s="10"/>
      <c r="C168" s="53"/>
      <c r="D168" s="10"/>
      <c r="E168" s="10"/>
      <c r="F168" s="99"/>
      <c r="G168" s="10"/>
      <c r="H168" s="10"/>
      <c r="I168" s="100"/>
      <c r="J168" s="10"/>
      <c r="K168" s="99"/>
      <c r="L168" s="105" t="e">
        <f>VLOOKUP(K168,Species!$A$2:$D$2230,2,FALSE)</f>
        <v>#N/A</v>
      </c>
      <c r="M168" s="105" t="e">
        <f>VLOOKUP(K168,Species!$A$2:$D$2230,3,FALSE)</f>
        <v>#N/A</v>
      </c>
      <c r="N168" s="105" t="e">
        <f>VLOOKUP(K168,Species!$A$2:$D$2230,4,FALSE)</f>
        <v>#N/A</v>
      </c>
      <c r="O168" s="10"/>
      <c r="P168" s="10"/>
      <c r="Q168" s="101"/>
      <c r="R168" s="99"/>
      <c r="S168" s="99"/>
      <c r="T168" s="102"/>
      <c r="U168" s="102"/>
      <c r="V168" s="102"/>
      <c r="W168" s="102"/>
      <c r="X168" s="99"/>
      <c r="Y168" s="99"/>
      <c r="Z168" s="99"/>
      <c r="AA168" s="99"/>
      <c r="AB168" s="99"/>
      <c r="AC168" s="10"/>
      <c r="AD168" s="99"/>
      <c r="AE168" s="103"/>
      <c r="AF168" s="16"/>
    </row>
    <row r="169" spans="1:32" x14ac:dyDescent="0.25">
      <c r="A169" s="10"/>
      <c r="B169" s="10"/>
      <c r="C169" s="53"/>
      <c r="D169" s="10"/>
      <c r="E169" s="10"/>
      <c r="F169" s="99"/>
      <c r="G169" s="10"/>
      <c r="H169" s="10"/>
      <c r="I169" s="100"/>
      <c r="J169" s="10"/>
      <c r="K169" s="99"/>
      <c r="L169" s="105" t="e">
        <f>VLOOKUP(K169,Species!$A$2:$D$2230,2,FALSE)</f>
        <v>#N/A</v>
      </c>
      <c r="M169" s="105" t="e">
        <f>VLOOKUP(K169,Species!$A$2:$D$2230,3,FALSE)</f>
        <v>#N/A</v>
      </c>
      <c r="N169" s="105" t="e">
        <f>VLOOKUP(K169,Species!$A$2:$D$2230,4,FALSE)</f>
        <v>#N/A</v>
      </c>
      <c r="O169" s="10"/>
      <c r="P169" s="10"/>
      <c r="Q169" s="101"/>
      <c r="R169" s="99"/>
      <c r="S169" s="99"/>
      <c r="T169" s="102"/>
      <c r="U169" s="102"/>
      <c r="V169" s="102"/>
      <c r="W169" s="102"/>
      <c r="X169" s="99"/>
      <c r="Y169" s="99"/>
      <c r="Z169" s="99"/>
      <c r="AA169" s="99"/>
      <c r="AB169" s="99"/>
      <c r="AC169" s="10"/>
      <c r="AD169" s="99"/>
      <c r="AE169" s="103"/>
      <c r="AF169" s="16"/>
    </row>
    <row r="170" spans="1:32" x14ac:dyDescent="0.25">
      <c r="A170" s="10"/>
      <c r="B170" s="10"/>
      <c r="C170" s="53"/>
      <c r="D170" s="10"/>
      <c r="E170" s="10"/>
      <c r="F170" s="99"/>
      <c r="G170" s="10"/>
      <c r="H170" s="10"/>
      <c r="I170" s="100"/>
      <c r="J170" s="10"/>
      <c r="K170" s="99"/>
      <c r="L170" s="105" t="e">
        <f>VLOOKUP(K170,Species!$A$2:$D$2230,2,FALSE)</f>
        <v>#N/A</v>
      </c>
      <c r="M170" s="105" t="e">
        <f>VLOOKUP(K170,Species!$A$2:$D$2230,3,FALSE)</f>
        <v>#N/A</v>
      </c>
      <c r="N170" s="105" t="e">
        <f>VLOOKUP(K170,Species!$A$2:$D$2230,4,FALSE)</f>
        <v>#N/A</v>
      </c>
      <c r="O170" s="10"/>
      <c r="P170" s="10"/>
      <c r="Q170" s="101"/>
      <c r="R170" s="99"/>
      <c r="S170" s="99"/>
      <c r="T170" s="102"/>
      <c r="U170" s="102"/>
      <c r="V170" s="102"/>
      <c r="W170" s="102"/>
      <c r="X170" s="99"/>
      <c r="Y170" s="99"/>
      <c r="Z170" s="99"/>
      <c r="AA170" s="99"/>
      <c r="AB170" s="99"/>
      <c r="AC170" s="10"/>
      <c r="AD170" s="99"/>
      <c r="AE170" s="103"/>
      <c r="AF170" s="16"/>
    </row>
    <row r="171" spans="1:32" x14ac:dyDescent="0.25">
      <c r="A171" s="10"/>
      <c r="B171" s="10"/>
      <c r="C171" s="53"/>
      <c r="D171" s="10"/>
      <c r="E171" s="10"/>
      <c r="F171" s="99"/>
      <c r="G171" s="10"/>
      <c r="H171" s="10"/>
      <c r="I171" s="100"/>
      <c r="J171" s="10"/>
      <c r="K171" s="99"/>
      <c r="L171" s="105" t="e">
        <f>VLOOKUP(K171,Species!$A$2:$D$2230,2,FALSE)</f>
        <v>#N/A</v>
      </c>
      <c r="M171" s="105" t="e">
        <f>VLOOKUP(K171,Species!$A$2:$D$2230,3,FALSE)</f>
        <v>#N/A</v>
      </c>
      <c r="N171" s="105" t="e">
        <f>VLOOKUP(K171,Species!$A$2:$D$2230,4,FALSE)</f>
        <v>#N/A</v>
      </c>
      <c r="O171" s="10"/>
      <c r="P171" s="10"/>
      <c r="Q171" s="101"/>
      <c r="R171" s="99"/>
      <c r="S171" s="99"/>
      <c r="T171" s="102"/>
      <c r="U171" s="102"/>
      <c r="V171" s="102"/>
      <c r="W171" s="102"/>
      <c r="X171" s="99"/>
      <c r="Y171" s="99"/>
      <c r="Z171" s="99"/>
      <c r="AA171" s="99"/>
      <c r="AB171" s="99"/>
      <c r="AC171" s="10"/>
      <c r="AD171" s="99"/>
      <c r="AE171" s="103"/>
      <c r="AF171" s="16"/>
    </row>
    <row r="172" spans="1:32" x14ac:dyDescent="0.25">
      <c r="A172" s="10"/>
      <c r="B172" s="10"/>
      <c r="C172" s="53"/>
      <c r="D172" s="10"/>
      <c r="E172" s="10"/>
      <c r="F172" s="99"/>
      <c r="G172" s="10"/>
      <c r="H172" s="10"/>
      <c r="I172" s="100"/>
      <c r="J172" s="10"/>
      <c r="K172" s="99"/>
      <c r="L172" s="105" t="e">
        <f>VLOOKUP(K172,Species!$A$2:$D$2230,2,FALSE)</f>
        <v>#N/A</v>
      </c>
      <c r="M172" s="105" t="e">
        <f>VLOOKUP(K172,Species!$A$2:$D$2230,3,FALSE)</f>
        <v>#N/A</v>
      </c>
      <c r="N172" s="105" t="e">
        <f>VLOOKUP(K172,Species!$A$2:$D$2230,4,FALSE)</f>
        <v>#N/A</v>
      </c>
      <c r="O172" s="10"/>
      <c r="P172" s="10"/>
      <c r="Q172" s="101"/>
      <c r="R172" s="99"/>
      <c r="S172" s="99"/>
      <c r="T172" s="102"/>
      <c r="U172" s="102"/>
      <c r="V172" s="102"/>
      <c r="W172" s="102"/>
      <c r="X172" s="99"/>
      <c r="Y172" s="99"/>
      <c r="Z172" s="99"/>
      <c r="AA172" s="99"/>
      <c r="AB172" s="99"/>
      <c r="AC172" s="10"/>
      <c r="AD172" s="99"/>
      <c r="AE172" s="103"/>
      <c r="AF172" s="16"/>
    </row>
    <row r="173" spans="1:32" x14ac:dyDescent="0.25">
      <c r="A173" s="10"/>
      <c r="B173" s="10"/>
      <c r="C173" s="53"/>
      <c r="D173" s="10"/>
      <c r="E173" s="10"/>
      <c r="F173" s="99"/>
      <c r="G173" s="10"/>
      <c r="H173" s="10"/>
      <c r="I173" s="100"/>
      <c r="J173" s="10"/>
      <c r="K173" s="99"/>
      <c r="L173" s="105" t="e">
        <f>VLOOKUP(K173,Species!$A$2:$D$2230,2,FALSE)</f>
        <v>#N/A</v>
      </c>
      <c r="M173" s="105" t="e">
        <f>VLOOKUP(K173,Species!$A$2:$D$2230,3,FALSE)</f>
        <v>#N/A</v>
      </c>
      <c r="N173" s="105" t="e">
        <f>VLOOKUP(K173,Species!$A$2:$D$2230,4,FALSE)</f>
        <v>#N/A</v>
      </c>
      <c r="O173" s="10"/>
      <c r="P173" s="10"/>
      <c r="Q173" s="101"/>
      <c r="R173" s="99"/>
      <c r="S173" s="99"/>
      <c r="T173" s="102"/>
      <c r="U173" s="102"/>
      <c r="V173" s="102"/>
      <c r="W173" s="102"/>
      <c r="X173" s="99"/>
      <c r="Y173" s="99"/>
      <c r="Z173" s="99"/>
      <c r="AA173" s="99"/>
      <c r="AB173" s="99"/>
      <c r="AC173" s="10"/>
      <c r="AD173" s="99"/>
      <c r="AE173" s="103"/>
      <c r="AF173" s="16"/>
    </row>
    <row r="174" spans="1:32" x14ac:dyDescent="0.25">
      <c r="A174" s="54"/>
      <c r="B174" s="54"/>
      <c r="C174" s="53"/>
      <c r="D174" s="54"/>
      <c r="E174" s="54"/>
      <c r="F174" s="99"/>
      <c r="G174" s="54"/>
      <c r="H174" s="54"/>
      <c r="I174" s="100"/>
      <c r="J174" s="54"/>
      <c r="K174" s="99"/>
      <c r="L174" s="105" t="e">
        <f>VLOOKUP(K174,Species!$A$2:$D$2230,2,FALSE)</f>
        <v>#N/A</v>
      </c>
      <c r="M174" s="105" t="e">
        <f>VLOOKUP(K174,Species!$A$2:$D$2230,3,FALSE)</f>
        <v>#N/A</v>
      </c>
      <c r="N174" s="105" t="e">
        <f>VLOOKUP(K174,Species!$A$2:$D$2230,4,FALSE)</f>
        <v>#N/A</v>
      </c>
      <c r="O174" s="54"/>
      <c r="P174" s="54"/>
      <c r="Q174" s="101"/>
      <c r="R174" s="99"/>
      <c r="S174" s="99"/>
      <c r="T174" s="102"/>
      <c r="U174" s="102"/>
      <c r="V174" s="102"/>
      <c r="W174" s="102"/>
      <c r="X174" s="99"/>
      <c r="Y174" s="99"/>
      <c r="Z174" s="99"/>
      <c r="AA174" s="99"/>
      <c r="AB174" s="102"/>
      <c r="AC174" s="54"/>
      <c r="AD174" s="102"/>
      <c r="AE174" s="104"/>
      <c r="AF174" s="16"/>
    </row>
    <row r="175" spans="1:32" x14ac:dyDescent="0.25">
      <c r="A175" s="10"/>
      <c r="B175" s="10"/>
      <c r="C175" s="53"/>
      <c r="D175" s="10"/>
      <c r="E175" s="10"/>
      <c r="F175" s="99"/>
      <c r="G175" s="10"/>
      <c r="H175" s="10"/>
      <c r="I175" s="100"/>
      <c r="J175" s="10"/>
      <c r="K175" s="99"/>
      <c r="L175" s="105" t="e">
        <f>VLOOKUP(K175,Species!$A$2:$D$2230,2,FALSE)</f>
        <v>#N/A</v>
      </c>
      <c r="M175" s="105" t="e">
        <f>VLOOKUP(K175,Species!$A$2:$D$2230,3,FALSE)</f>
        <v>#N/A</v>
      </c>
      <c r="N175" s="105" t="e">
        <f>VLOOKUP(K175,Species!$A$2:$D$2230,4,FALSE)</f>
        <v>#N/A</v>
      </c>
      <c r="O175" s="10"/>
      <c r="P175" s="10"/>
      <c r="Q175" s="101"/>
      <c r="R175" s="99"/>
      <c r="S175" s="99"/>
      <c r="T175" s="102"/>
      <c r="U175" s="102"/>
      <c r="V175" s="102"/>
      <c r="W175" s="102"/>
      <c r="X175" s="99"/>
      <c r="Y175" s="99"/>
      <c r="Z175" s="99"/>
      <c r="AA175" s="99"/>
      <c r="AB175" s="99"/>
      <c r="AC175" s="10"/>
      <c r="AD175" s="99"/>
      <c r="AE175" s="103"/>
      <c r="AF175" s="16"/>
    </row>
    <row r="176" spans="1:32" x14ac:dyDescent="0.25">
      <c r="A176" s="10"/>
      <c r="B176" s="10"/>
      <c r="C176" s="53"/>
      <c r="D176" s="10"/>
      <c r="E176" s="10"/>
      <c r="F176" s="99"/>
      <c r="G176" s="10"/>
      <c r="H176" s="10"/>
      <c r="I176" s="100"/>
      <c r="J176" s="10"/>
      <c r="K176" s="99"/>
      <c r="L176" s="105" t="e">
        <f>VLOOKUP(K176,Species!$A$2:$D$2230,2,FALSE)</f>
        <v>#N/A</v>
      </c>
      <c r="M176" s="105" t="e">
        <f>VLOOKUP(K176,Species!$A$2:$D$2230,3,FALSE)</f>
        <v>#N/A</v>
      </c>
      <c r="N176" s="105" t="e">
        <f>VLOOKUP(K176,Species!$A$2:$D$2230,4,FALSE)</f>
        <v>#N/A</v>
      </c>
      <c r="O176" s="10"/>
      <c r="P176" s="10"/>
      <c r="Q176" s="101"/>
      <c r="R176" s="99"/>
      <c r="S176" s="99"/>
      <c r="T176" s="102"/>
      <c r="U176" s="102"/>
      <c r="V176" s="102"/>
      <c r="W176" s="102"/>
      <c r="X176" s="99"/>
      <c r="Y176" s="99"/>
      <c r="Z176" s="99"/>
      <c r="AA176" s="99"/>
      <c r="AB176" s="99"/>
      <c r="AC176" s="10"/>
      <c r="AD176" s="99"/>
      <c r="AE176" s="103"/>
      <c r="AF176" s="16"/>
    </row>
    <row r="177" spans="1:32" x14ac:dyDescent="0.25">
      <c r="A177" s="10"/>
      <c r="B177" s="10"/>
      <c r="C177" s="53"/>
      <c r="D177" s="10"/>
      <c r="E177" s="10"/>
      <c r="F177" s="99"/>
      <c r="G177" s="10"/>
      <c r="H177" s="10"/>
      <c r="I177" s="100"/>
      <c r="J177" s="10"/>
      <c r="K177" s="99"/>
      <c r="L177" s="105" t="e">
        <f>VLOOKUP(K177,Species!$A$2:$D$2230,2,FALSE)</f>
        <v>#N/A</v>
      </c>
      <c r="M177" s="105" t="e">
        <f>VLOOKUP(K177,Species!$A$2:$D$2230,3,FALSE)</f>
        <v>#N/A</v>
      </c>
      <c r="N177" s="105" t="e">
        <f>VLOOKUP(K177,Species!$A$2:$D$2230,4,FALSE)</f>
        <v>#N/A</v>
      </c>
      <c r="O177" s="10"/>
      <c r="P177" s="10"/>
      <c r="Q177" s="101"/>
      <c r="R177" s="99"/>
      <c r="S177" s="99"/>
      <c r="T177" s="102"/>
      <c r="U177" s="102"/>
      <c r="V177" s="102"/>
      <c r="W177" s="102"/>
      <c r="X177" s="99"/>
      <c r="Y177" s="99"/>
      <c r="Z177" s="99"/>
      <c r="AA177" s="99"/>
      <c r="AB177" s="99"/>
      <c r="AC177" s="10"/>
      <c r="AD177" s="99"/>
      <c r="AE177" s="103"/>
      <c r="AF177" s="16"/>
    </row>
    <row r="178" spans="1:32" x14ac:dyDescent="0.25">
      <c r="A178" s="10"/>
      <c r="B178" s="10"/>
      <c r="C178" s="53"/>
      <c r="D178" s="10"/>
      <c r="E178" s="10"/>
      <c r="F178" s="99"/>
      <c r="G178" s="10"/>
      <c r="H178" s="10"/>
      <c r="I178" s="100"/>
      <c r="J178" s="10"/>
      <c r="K178" s="99"/>
      <c r="L178" s="105" t="e">
        <f>VLOOKUP(K178,Species!$A$2:$D$2230,2,FALSE)</f>
        <v>#N/A</v>
      </c>
      <c r="M178" s="105" t="e">
        <f>VLOOKUP(K178,Species!$A$2:$D$2230,3,FALSE)</f>
        <v>#N/A</v>
      </c>
      <c r="N178" s="105" t="e">
        <f>VLOOKUP(K178,Species!$A$2:$D$2230,4,FALSE)</f>
        <v>#N/A</v>
      </c>
      <c r="O178" s="10"/>
      <c r="P178" s="10"/>
      <c r="Q178" s="101"/>
      <c r="R178" s="99"/>
      <c r="S178" s="99"/>
      <c r="T178" s="102"/>
      <c r="U178" s="102"/>
      <c r="V178" s="102"/>
      <c r="W178" s="102"/>
      <c r="X178" s="99"/>
      <c r="Y178" s="99"/>
      <c r="Z178" s="99"/>
      <c r="AA178" s="99"/>
      <c r="AB178" s="99"/>
      <c r="AC178" s="10"/>
      <c r="AD178" s="99"/>
      <c r="AE178" s="103"/>
      <c r="AF178" s="16"/>
    </row>
    <row r="179" spans="1:32" x14ac:dyDescent="0.25">
      <c r="A179" s="10"/>
      <c r="B179" s="10"/>
      <c r="C179" s="53"/>
      <c r="D179" s="10"/>
      <c r="E179" s="10"/>
      <c r="F179" s="99"/>
      <c r="G179" s="10"/>
      <c r="H179" s="10"/>
      <c r="I179" s="100"/>
      <c r="J179" s="10"/>
      <c r="K179" s="99"/>
      <c r="L179" s="105" t="e">
        <f>VLOOKUP(K179,Species!$A$2:$D$2230,2,FALSE)</f>
        <v>#N/A</v>
      </c>
      <c r="M179" s="105" t="e">
        <f>VLOOKUP(K179,Species!$A$2:$D$2230,3,FALSE)</f>
        <v>#N/A</v>
      </c>
      <c r="N179" s="105" t="e">
        <f>VLOOKUP(K179,Species!$A$2:$D$2230,4,FALSE)</f>
        <v>#N/A</v>
      </c>
      <c r="O179" s="10"/>
      <c r="P179" s="10"/>
      <c r="Q179" s="101"/>
      <c r="R179" s="99"/>
      <c r="S179" s="99"/>
      <c r="T179" s="102"/>
      <c r="U179" s="102"/>
      <c r="V179" s="102"/>
      <c r="W179" s="102"/>
      <c r="X179" s="99"/>
      <c r="Y179" s="99"/>
      <c r="Z179" s="99"/>
      <c r="AA179" s="99"/>
      <c r="AB179" s="99"/>
      <c r="AC179" s="10"/>
      <c r="AD179" s="99"/>
      <c r="AE179" s="103"/>
      <c r="AF179" s="16"/>
    </row>
    <row r="180" spans="1:32" x14ac:dyDescent="0.25">
      <c r="A180" s="10"/>
      <c r="B180" s="10"/>
      <c r="C180" s="53"/>
      <c r="D180" s="10"/>
      <c r="E180" s="10"/>
      <c r="F180" s="99"/>
      <c r="G180" s="10"/>
      <c r="H180" s="10"/>
      <c r="I180" s="100"/>
      <c r="J180" s="10"/>
      <c r="K180" s="99"/>
      <c r="L180" s="105" t="e">
        <f>VLOOKUP(K180,Species!$A$2:$D$2230,2,FALSE)</f>
        <v>#N/A</v>
      </c>
      <c r="M180" s="105" t="e">
        <f>VLOOKUP(K180,Species!$A$2:$D$2230,3,FALSE)</f>
        <v>#N/A</v>
      </c>
      <c r="N180" s="105" t="e">
        <f>VLOOKUP(K180,Species!$A$2:$D$2230,4,FALSE)</f>
        <v>#N/A</v>
      </c>
      <c r="O180" s="10"/>
      <c r="P180" s="10"/>
      <c r="Q180" s="101"/>
      <c r="R180" s="99"/>
      <c r="S180" s="99"/>
      <c r="T180" s="102"/>
      <c r="U180" s="102"/>
      <c r="V180" s="102"/>
      <c r="W180" s="102"/>
      <c r="X180" s="99"/>
      <c r="Y180" s="99"/>
      <c r="Z180" s="99"/>
      <c r="AA180" s="99"/>
      <c r="AB180" s="99"/>
      <c r="AC180" s="10"/>
      <c r="AD180" s="99"/>
      <c r="AE180" s="103"/>
      <c r="AF180" s="16"/>
    </row>
    <row r="181" spans="1:32" x14ac:dyDescent="0.25">
      <c r="A181" s="10"/>
      <c r="B181" s="10"/>
      <c r="C181" s="53"/>
      <c r="D181" s="10"/>
      <c r="E181" s="10"/>
      <c r="F181" s="99"/>
      <c r="G181" s="10"/>
      <c r="H181" s="10"/>
      <c r="I181" s="100"/>
      <c r="J181" s="10"/>
      <c r="K181" s="99"/>
      <c r="L181" s="105" t="e">
        <f>VLOOKUP(K181,Species!$A$2:$D$2230,2,FALSE)</f>
        <v>#N/A</v>
      </c>
      <c r="M181" s="105" t="e">
        <f>VLOOKUP(K181,Species!$A$2:$D$2230,3,FALSE)</f>
        <v>#N/A</v>
      </c>
      <c r="N181" s="105" t="e">
        <f>VLOOKUP(K181,Species!$A$2:$D$2230,4,FALSE)</f>
        <v>#N/A</v>
      </c>
      <c r="O181" s="10"/>
      <c r="P181" s="10"/>
      <c r="Q181" s="101"/>
      <c r="R181" s="99"/>
      <c r="S181" s="99"/>
      <c r="T181" s="102"/>
      <c r="U181" s="102"/>
      <c r="V181" s="102"/>
      <c r="W181" s="102"/>
      <c r="X181" s="99"/>
      <c r="Y181" s="99"/>
      <c r="Z181" s="99"/>
      <c r="AA181" s="99"/>
      <c r="AB181" s="99"/>
      <c r="AC181" s="10"/>
      <c r="AD181" s="99"/>
      <c r="AE181" s="103"/>
      <c r="AF181" s="16"/>
    </row>
    <row r="182" spans="1:32" x14ac:dyDescent="0.25">
      <c r="A182" s="10"/>
      <c r="B182" s="10"/>
      <c r="C182" s="53"/>
      <c r="D182" s="10"/>
      <c r="E182" s="10"/>
      <c r="F182" s="99"/>
      <c r="G182" s="10"/>
      <c r="H182" s="10"/>
      <c r="I182" s="100"/>
      <c r="J182" s="10"/>
      <c r="K182" s="99"/>
      <c r="L182" s="105" t="e">
        <f>VLOOKUP(K182,Species!$A$2:$D$2230,2,FALSE)</f>
        <v>#N/A</v>
      </c>
      <c r="M182" s="105" t="e">
        <f>VLOOKUP(K182,Species!$A$2:$D$2230,3,FALSE)</f>
        <v>#N/A</v>
      </c>
      <c r="N182" s="105" t="e">
        <f>VLOOKUP(K182,Species!$A$2:$D$2230,4,FALSE)</f>
        <v>#N/A</v>
      </c>
      <c r="O182" s="10"/>
      <c r="P182" s="10"/>
      <c r="Q182" s="101"/>
      <c r="R182" s="99"/>
      <c r="S182" s="99"/>
      <c r="T182" s="102"/>
      <c r="U182" s="102"/>
      <c r="V182" s="102"/>
      <c r="W182" s="102"/>
      <c r="X182" s="99"/>
      <c r="Y182" s="99"/>
      <c r="Z182" s="99"/>
      <c r="AA182" s="99"/>
      <c r="AB182" s="99"/>
      <c r="AC182" s="10"/>
      <c r="AD182" s="99"/>
      <c r="AE182" s="103"/>
      <c r="AF182" s="16"/>
    </row>
    <row r="183" spans="1:32" x14ac:dyDescent="0.25">
      <c r="A183" s="54"/>
      <c r="B183" s="54"/>
      <c r="C183" s="53"/>
      <c r="D183" s="54"/>
      <c r="E183" s="54"/>
      <c r="F183" s="99"/>
      <c r="G183" s="54"/>
      <c r="H183" s="54"/>
      <c r="I183" s="100"/>
      <c r="J183" s="54"/>
      <c r="K183" s="99"/>
      <c r="L183" s="105" t="e">
        <f>VLOOKUP(K183,Species!$A$2:$D$2230,2,FALSE)</f>
        <v>#N/A</v>
      </c>
      <c r="M183" s="105" t="e">
        <f>VLOOKUP(K183,Species!$A$2:$D$2230,3,FALSE)</f>
        <v>#N/A</v>
      </c>
      <c r="N183" s="105" t="e">
        <f>VLOOKUP(K183,Species!$A$2:$D$2230,4,FALSE)</f>
        <v>#N/A</v>
      </c>
      <c r="O183" s="54"/>
      <c r="P183" s="54"/>
      <c r="Q183" s="101"/>
      <c r="R183" s="99"/>
      <c r="S183" s="99"/>
      <c r="T183" s="102"/>
      <c r="U183" s="102"/>
      <c r="V183" s="102"/>
      <c r="W183" s="102"/>
      <c r="X183" s="102"/>
      <c r="Y183" s="102"/>
      <c r="Z183" s="102"/>
      <c r="AA183" s="102"/>
      <c r="AB183" s="102"/>
      <c r="AC183" s="54"/>
      <c r="AD183" s="102"/>
      <c r="AE183" s="104"/>
      <c r="AF183" s="16"/>
    </row>
    <row r="184" spans="1:32" x14ac:dyDescent="0.25">
      <c r="A184" s="10"/>
      <c r="B184" s="10"/>
      <c r="C184" s="53"/>
      <c r="D184" s="10"/>
      <c r="E184" s="10"/>
      <c r="F184" s="99"/>
      <c r="G184" s="10"/>
      <c r="H184" s="10"/>
      <c r="I184" s="100"/>
      <c r="J184" s="10"/>
      <c r="K184" s="99"/>
      <c r="L184" s="105" t="e">
        <f>VLOOKUP(K184,Species!$A$2:$D$2230,2,FALSE)</f>
        <v>#N/A</v>
      </c>
      <c r="M184" s="105" t="e">
        <f>VLOOKUP(K184,Species!$A$2:$D$2230,3,FALSE)</f>
        <v>#N/A</v>
      </c>
      <c r="N184" s="105" t="e">
        <f>VLOOKUP(K184,Species!$A$2:$D$2230,4,FALSE)</f>
        <v>#N/A</v>
      </c>
      <c r="O184" s="10"/>
      <c r="P184" s="10"/>
      <c r="Q184" s="101"/>
      <c r="R184" s="99"/>
      <c r="S184" s="99"/>
      <c r="T184" s="102"/>
      <c r="U184" s="102"/>
      <c r="V184" s="102"/>
      <c r="W184" s="102"/>
      <c r="X184" s="99"/>
      <c r="Y184" s="99"/>
      <c r="Z184" s="99"/>
      <c r="AA184" s="99"/>
      <c r="AB184" s="99"/>
      <c r="AC184" s="10"/>
      <c r="AD184" s="99"/>
      <c r="AE184" s="103"/>
      <c r="AF184" s="16"/>
    </row>
    <row r="185" spans="1:32" x14ac:dyDescent="0.25">
      <c r="A185" s="10"/>
      <c r="B185" s="10"/>
      <c r="C185" s="53"/>
      <c r="D185" s="10"/>
      <c r="E185" s="10"/>
      <c r="F185" s="99"/>
      <c r="G185" s="10"/>
      <c r="H185" s="10"/>
      <c r="I185" s="100"/>
      <c r="J185" s="10"/>
      <c r="K185" s="99"/>
      <c r="L185" s="105" t="e">
        <f>VLOOKUP(K185,Species!$A$2:$D$2230,2,FALSE)</f>
        <v>#N/A</v>
      </c>
      <c r="M185" s="105" t="e">
        <f>VLOOKUP(K185,Species!$A$2:$D$2230,3,FALSE)</f>
        <v>#N/A</v>
      </c>
      <c r="N185" s="105" t="e">
        <f>VLOOKUP(K185,Species!$A$2:$D$2230,4,FALSE)</f>
        <v>#N/A</v>
      </c>
      <c r="O185" s="10"/>
      <c r="P185" s="10"/>
      <c r="Q185" s="101"/>
      <c r="R185" s="99"/>
      <c r="S185" s="99"/>
      <c r="T185" s="102"/>
      <c r="U185" s="102"/>
      <c r="V185" s="102"/>
      <c r="W185" s="102"/>
      <c r="X185" s="99"/>
      <c r="Y185" s="99"/>
      <c r="Z185" s="99"/>
      <c r="AA185" s="99"/>
      <c r="AB185" s="99"/>
      <c r="AC185" s="10"/>
      <c r="AD185" s="99"/>
      <c r="AE185" s="103"/>
      <c r="AF185" s="16"/>
    </row>
    <row r="186" spans="1:32" x14ac:dyDescent="0.25">
      <c r="A186" s="10"/>
      <c r="B186" s="10"/>
      <c r="C186" s="53"/>
      <c r="D186" s="10"/>
      <c r="E186" s="10"/>
      <c r="F186" s="99"/>
      <c r="G186" s="10"/>
      <c r="H186" s="10"/>
      <c r="I186" s="100"/>
      <c r="J186" s="10"/>
      <c r="K186" s="99"/>
      <c r="L186" s="105" t="e">
        <f>VLOOKUP(K186,Species!$A$2:$D$2230,2,FALSE)</f>
        <v>#N/A</v>
      </c>
      <c r="M186" s="105" t="e">
        <f>VLOOKUP(K186,Species!$A$2:$D$2230,3,FALSE)</f>
        <v>#N/A</v>
      </c>
      <c r="N186" s="105" t="e">
        <f>VLOOKUP(K186,Species!$A$2:$D$2230,4,FALSE)</f>
        <v>#N/A</v>
      </c>
      <c r="O186" s="10"/>
      <c r="P186" s="10"/>
      <c r="Q186" s="101"/>
      <c r="R186" s="99"/>
      <c r="S186" s="99"/>
      <c r="T186" s="102"/>
      <c r="U186" s="102"/>
      <c r="V186" s="102"/>
      <c r="W186" s="102"/>
      <c r="X186" s="99"/>
      <c r="Y186" s="99"/>
      <c r="Z186" s="99"/>
      <c r="AA186" s="99"/>
      <c r="AB186" s="99"/>
      <c r="AC186" s="10"/>
      <c r="AD186" s="99"/>
      <c r="AE186" s="103"/>
      <c r="AF186" s="16"/>
    </row>
    <row r="187" spans="1:32" x14ac:dyDescent="0.25">
      <c r="A187" s="10"/>
      <c r="B187" s="10"/>
      <c r="C187" s="53"/>
      <c r="D187" s="10"/>
      <c r="E187" s="10"/>
      <c r="F187" s="99"/>
      <c r="G187" s="10"/>
      <c r="H187" s="10"/>
      <c r="I187" s="100"/>
      <c r="J187" s="10"/>
      <c r="K187" s="99"/>
      <c r="L187" s="105" t="e">
        <f>VLOOKUP(K187,Species!$A$2:$D$2230,2,FALSE)</f>
        <v>#N/A</v>
      </c>
      <c r="M187" s="105" t="e">
        <f>VLOOKUP(K187,Species!$A$2:$D$2230,3,FALSE)</f>
        <v>#N/A</v>
      </c>
      <c r="N187" s="105" t="e">
        <f>VLOOKUP(K187,Species!$A$2:$D$2230,4,FALSE)</f>
        <v>#N/A</v>
      </c>
      <c r="O187" s="10"/>
      <c r="P187" s="10"/>
      <c r="Q187" s="101"/>
      <c r="R187" s="99"/>
      <c r="S187" s="99"/>
      <c r="T187" s="102"/>
      <c r="U187" s="102"/>
      <c r="V187" s="102"/>
      <c r="W187" s="102"/>
      <c r="X187" s="99"/>
      <c r="Y187" s="99"/>
      <c r="Z187" s="99"/>
      <c r="AA187" s="99"/>
      <c r="AB187" s="99"/>
      <c r="AC187" s="10"/>
      <c r="AD187" s="99"/>
      <c r="AE187" s="103"/>
      <c r="AF187" s="16"/>
    </row>
    <row r="188" spans="1:32" x14ac:dyDescent="0.25">
      <c r="A188" s="10"/>
      <c r="B188" s="10"/>
      <c r="C188" s="53"/>
      <c r="D188" s="10"/>
      <c r="E188" s="10"/>
      <c r="F188" s="99"/>
      <c r="G188" s="10"/>
      <c r="H188" s="10"/>
      <c r="I188" s="100"/>
      <c r="J188" s="10"/>
      <c r="K188" s="99"/>
      <c r="L188" s="105" t="e">
        <f>VLOOKUP(K188,Species!$A$2:$D$2230,2,FALSE)</f>
        <v>#N/A</v>
      </c>
      <c r="M188" s="105" t="e">
        <f>VLOOKUP(K188,Species!$A$2:$D$2230,3,FALSE)</f>
        <v>#N/A</v>
      </c>
      <c r="N188" s="105" t="e">
        <f>VLOOKUP(K188,Species!$A$2:$D$2230,4,FALSE)</f>
        <v>#N/A</v>
      </c>
      <c r="O188" s="10"/>
      <c r="P188" s="10"/>
      <c r="Q188" s="101"/>
      <c r="R188" s="99"/>
      <c r="S188" s="99"/>
      <c r="T188" s="102"/>
      <c r="U188" s="102"/>
      <c r="V188" s="102"/>
      <c r="W188" s="102"/>
      <c r="X188" s="99"/>
      <c r="Y188" s="99"/>
      <c r="Z188" s="99"/>
      <c r="AA188" s="99"/>
      <c r="AB188" s="99"/>
      <c r="AC188" s="10"/>
      <c r="AD188" s="99"/>
      <c r="AE188" s="103"/>
      <c r="AF188" s="16"/>
    </row>
    <row r="189" spans="1:32" x14ac:dyDescent="0.25">
      <c r="A189" s="10"/>
      <c r="B189" s="10"/>
      <c r="C189" s="53"/>
      <c r="D189" s="10"/>
      <c r="E189" s="10"/>
      <c r="F189" s="99"/>
      <c r="G189" s="10"/>
      <c r="H189" s="10"/>
      <c r="I189" s="100"/>
      <c r="J189" s="10"/>
      <c r="K189" s="99"/>
      <c r="L189" s="105" t="e">
        <f>VLOOKUP(K189,Species!$A$2:$D$2230,2,FALSE)</f>
        <v>#N/A</v>
      </c>
      <c r="M189" s="105" t="e">
        <f>VLOOKUP(K189,Species!$A$2:$D$2230,3,FALSE)</f>
        <v>#N/A</v>
      </c>
      <c r="N189" s="105" t="e">
        <f>VLOOKUP(K189,Species!$A$2:$D$2230,4,FALSE)</f>
        <v>#N/A</v>
      </c>
      <c r="O189" s="10"/>
      <c r="P189" s="10"/>
      <c r="Q189" s="101"/>
      <c r="R189" s="99"/>
      <c r="S189" s="99"/>
      <c r="T189" s="102"/>
      <c r="U189" s="102"/>
      <c r="V189" s="102"/>
      <c r="W189" s="102"/>
      <c r="X189" s="99"/>
      <c r="Y189" s="99"/>
      <c r="Z189" s="99"/>
      <c r="AA189" s="99"/>
      <c r="AB189" s="99"/>
      <c r="AC189" s="10"/>
      <c r="AD189" s="99"/>
      <c r="AE189" s="103"/>
      <c r="AF189" s="16"/>
    </row>
    <row r="190" spans="1:32" x14ac:dyDescent="0.25">
      <c r="A190" s="10"/>
      <c r="B190" s="10"/>
      <c r="C190" s="53"/>
      <c r="D190" s="10"/>
      <c r="E190" s="10"/>
      <c r="F190" s="99"/>
      <c r="G190" s="10"/>
      <c r="H190" s="10"/>
      <c r="I190" s="100"/>
      <c r="J190" s="10"/>
      <c r="K190" s="99"/>
      <c r="L190" s="105" t="e">
        <f>VLOOKUP(K190,Species!$A$2:$D$2230,2,FALSE)</f>
        <v>#N/A</v>
      </c>
      <c r="M190" s="105" t="e">
        <f>VLOOKUP(K190,Species!$A$2:$D$2230,3,FALSE)</f>
        <v>#N/A</v>
      </c>
      <c r="N190" s="105" t="e">
        <f>VLOOKUP(K190,Species!$A$2:$D$2230,4,FALSE)</f>
        <v>#N/A</v>
      </c>
      <c r="O190" s="10"/>
      <c r="P190" s="10"/>
      <c r="Q190" s="101"/>
      <c r="R190" s="99"/>
      <c r="S190" s="99"/>
      <c r="T190" s="102"/>
      <c r="U190" s="102"/>
      <c r="V190" s="102"/>
      <c r="W190" s="102"/>
      <c r="X190" s="99"/>
      <c r="Y190" s="99"/>
      <c r="Z190" s="99"/>
      <c r="AA190" s="99"/>
      <c r="AB190" s="99"/>
      <c r="AC190" s="10"/>
      <c r="AD190" s="99"/>
      <c r="AE190" s="103"/>
      <c r="AF190" s="16"/>
    </row>
    <row r="191" spans="1:32" x14ac:dyDescent="0.25">
      <c r="A191" s="10"/>
      <c r="B191" s="10"/>
      <c r="C191" s="53"/>
      <c r="D191" s="10"/>
      <c r="E191" s="10"/>
      <c r="F191" s="99"/>
      <c r="G191" s="10"/>
      <c r="H191" s="10"/>
      <c r="I191" s="100"/>
      <c r="J191" s="10"/>
      <c r="K191" s="99"/>
      <c r="L191" s="105" t="e">
        <f>VLOOKUP(K191,Species!$A$2:$D$2230,2,FALSE)</f>
        <v>#N/A</v>
      </c>
      <c r="M191" s="105" t="e">
        <f>VLOOKUP(K191,Species!$A$2:$D$2230,3,FALSE)</f>
        <v>#N/A</v>
      </c>
      <c r="N191" s="105" t="e">
        <f>VLOOKUP(K191,Species!$A$2:$D$2230,4,FALSE)</f>
        <v>#N/A</v>
      </c>
      <c r="O191" s="10"/>
      <c r="P191" s="10"/>
      <c r="Q191" s="101"/>
      <c r="R191" s="99"/>
      <c r="S191" s="99"/>
      <c r="T191" s="102"/>
      <c r="U191" s="102"/>
      <c r="V191" s="102"/>
      <c r="W191" s="102"/>
      <c r="X191" s="99"/>
      <c r="Y191" s="99"/>
      <c r="Z191" s="99"/>
      <c r="AA191" s="99"/>
      <c r="AB191" s="99"/>
      <c r="AC191" s="10"/>
      <c r="AD191" s="99"/>
      <c r="AE191" s="103"/>
      <c r="AF191" s="16"/>
    </row>
    <row r="192" spans="1:32" x14ac:dyDescent="0.25">
      <c r="A192" s="54"/>
      <c r="B192" s="54"/>
      <c r="C192" s="53"/>
      <c r="D192" s="54"/>
      <c r="E192" s="54"/>
      <c r="F192" s="99"/>
      <c r="G192" s="54"/>
      <c r="H192" s="54"/>
      <c r="I192" s="100"/>
      <c r="J192" s="54"/>
      <c r="K192" s="99"/>
      <c r="L192" s="105" t="e">
        <f>VLOOKUP(K192,Species!$A$2:$D$2230,2,FALSE)</f>
        <v>#N/A</v>
      </c>
      <c r="M192" s="105" t="e">
        <f>VLOOKUP(K192,Species!$A$2:$D$2230,3,FALSE)</f>
        <v>#N/A</v>
      </c>
      <c r="N192" s="105" t="e">
        <f>VLOOKUP(K192,Species!$A$2:$D$2230,4,FALSE)</f>
        <v>#N/A</v>
      </c>
      <c r="O192" s="54"/>
      <c r="P192" s="54"/>
      <c r="Q192" s="101"/>
      <c r="R192" s="99"/>
      <c r="S192" s="99"/>
      <c r="T192" s="102"/>
      <c r="U192" s="102"/>
      <c r="V192" s="102"/>
      <c r="W192" s="102"/>
      <c r="X192" s="102"/>
      <c r="Y192" s="102"/>
      <c r="Z192" s="102"/>
      <c r="AA192" s="102"/>
      <c r="AB192" s="102"/>
      <c r="AC192" s="54"/>
      <c r="AD192" s="102"/>
      <c r="AE192" s="104"/>
      <c r="AF192" s="16"/>
    </row>
    <row r="193" spans="1:32" x14ac:dyDescent="0.25">
      <c r="A193" s="10"/>
      <c r="B193" s="10"/>
      <c r="C193" s="53"/>
      <c r="D193" s="10"/>
      <c r="E193" s="10"/>
      <c r="F193" s="99"/>
      <c r="G193" s="10"/>
      <c r="H193" s="10"/>
      <c r="I193" s="100"/>
      <c r="J193" s="10"/>
      <c r="K193" s="99"/>
      <c r="L193" s="105" t="e">
        <f>VLOOKUP(K193,Species!$A$2:$D$2230,2,FALSE)</f>
        <v>#N/A</v>
      </c>
      <c r="M193" s="105" t="e">
        <f>VLOOKUP(K193,Species!$A$2:$D$2230,3,FALSE)</f>
        <v>#N/A</v>
      </c>
      <c r="N193" s="105" t="e">
        <f>VLOOKUP(K193,Species!$A$2:$D$2230,4,FALSE)</f>
        <v>#N/A</v>
      </c>
      <c r="O193" s="10"/>
      <c r="P193" s="10"/>
      <c r="Q193" s="101"/>
      <c r="R193" s="99"/>
      <c r="S193" s="99"/>
      <c r="T193" s="102"/>
      <c r="U193" s="102"/>
      <c r="V193" s="102"/>
      <c r="W193" s="102"/>
      <c r="X193" s="99"/>
      <c r="Y193" s="99"/>
      <c r="Z193" s="99"/>
      <c r="AA193" s="99"/>
      <c r="AB193" s="99"/>
      <c r="AC193" s="10"/>
      <c r="AD193" s="99"/>
      <c r="AE193" s="103"/>
      <c r="AF193" s="16"/>
    </row>
    <row r="194" spans="1:32" x14ac:dyDescent="0.25">
      <c r="A194" s="10"/>
      <c r="B194" s="10"/>
      <c r="C194" s="53"/>
      <c r="D194" s="10"/>
      <c r="E194" s="10"/>
      <c r="F194" s="99"/>
      <c r="G194" s="10"/>
      <c r="H194" s="10"/>
      <c r="I194" s="100"/>
      <c r="J194" s="10"/>
      <c r="K194" s="99"/>
      <c r="L194" s="105" t="e">
        <f>VLOOKUP(K194,Species!$A$2:$D$2230,2,FALSE)</f>
        <v>#N/A</v>
      </c>
      <c r="M194" s="105" t="e">
        <f>VLOOKUP(K194,Species!$A$2:$D$2230,3,FALSE)</f>
        <v>#N/A</v>
      </c>
      <c r="N194" s="105" t="e">
        <f>VLOOKUP(K194,Species!$A$2:$D$2230,4,FALSE)</f>
        <v>#N/A</v>
      </c>
      <c r="O194" s="10"/>
      <c r="P194" s="10"/>
      <c r="Q194" s="101"/>
      <c r="R194" s="99"/>
      <c r="S194" s="99"/>
      <c r="T194" s="102"/>
      <c r="U194" s="102"/>
      <c r="V194" s="102"/>
      <c r="W194" s="102"/>
      <c r="X194" s="99"/>
      <c r="Y194" s="99"/>
      <c r="Z194" s="99"/>
      <c r="AA194" s="99"/>
      <c r="AB194" s="99"/>
      <c r="AC194" s="10"/>
      <c r="AD194" s="99"/>
      <c r="AE194" s="103"/>
      <c r="AF194" s="16"/>
    </row>
    <row r="195" spans="1:32" x14ac:dyDescent="0.25">
      <c r="A195" s="10"/>
      <c r="B195" s="10"/>
      <c r="C195" s="53"/>
      <c r="D195" s="10"/>
      <c r="E195" s="10"/>
      <c r="F195" s="99"/>
      <c r="G195" s="10"/>
      <c r="H195" s="10"/>
      <c r="I195" s="100"/>
      <c r="J195" s="10"/>
      <c r="K195" s="99"/>
      <c r="L195" s="105" t="e">
        <f>VLOOKUP(K195,Species!$A$2:$D$2230,2,FALSE)</f>
        <v>#N/A</v>
      </c>
      <c r="M195" s="105" t="e">
        <f>VLOOKUP(K195,Species!$A$2:$D$2230,3,FALSE)</f>
        <v>#N/A</v>
      </c>
      <c r="N195" s="105" t="e">
        <f>VLOOKUP(K195,Species!$A$2:$D$2230,4,FALSE)</f>
        <v>#N/A</v>
      </c>
      <c r="O195" s="10"/>
      <c r="P195" s="10"/>
      <c r="Q195" s="101"/>
      <c r="R195" s="99"/>
      <c r="S195" s="99"/>
      <c r="T195" s="102"/>
      <c r="U195" s="102"/>
      <c r="V195" s="102"/>
      <c r="W195" s="102"/>
      <c r="X195" s="99"/>
      <c r="Y195" s="99"/>
      <c r="Z195" s="99"/>
      <c r="AA195" s="99"/>
      <c r="AB195" s="99"/>
      <c r="AC195" s="10"/>
      <c r="AD195" s="99"/>
      <c r="AE195" s="103"/>
      <c r="AF195" s="16"/>
    </row>
    <row r="196" spans="1:32" x14ac:dyDescent="0.25">
      <c r="A196" s="10"/>
      <c r="B196" s="10"/>
      <c r="C196" s="53"/>
      <c r="D196" s="10"/>
      <c r="E196" s="10"/>
      <c r="F196" s="99"/>
      <c r="G196" s="10"/>
      <c r="H196" s="10"/>
      <c r="I196" s="100"/>
      <c r="J196" s="10"/>
      <c r="K196" s="99"/>
      <c r="L196" s="105" t="e">
        <f>VLOOKUP(K196,Species!$A$2:$D$2230,2,FALSE)</f>
        <v>#N/A</v>
      </c>
      <c r="M196" s="105" t="e">
        <f>VLOOKUP(K196,Species!$A$2:$D$2230,3,FALSE)</f>
        <v>#N/A</v>
      </c>
      <c r="N196" s="105" t="e">
        <f>VLOOKUP(K196,Species!$A$2:$D$2230,4,FALSE)</f>
        <v>#N/A</v>
      </c>
      <c r="O196" s="10"/>
      <c r="P196" s="10"/>
      <c r="Q196" s="101"/>
      <c r="R196" s="99"/>
      <c r="S196" s="99"/>
      <c r="T196" s="102"/>
      <c r="U196" s="102"/>
      <c r="V196" s="102"/>
      <c r="W196" s="102"/>
      <c r="X196" s="99"/>
      <c r="Y196" s="99"/>
      <c r="Z196" s="99"/>
      <c r="AA196" s="99"/>
      <c r="AB196" s="99"/>
      <c r="AC196" s="10"/>
      <c r="AD196" s="99"/>
      <c r="AE196" s="103"/>
      <c r="AF196" s="16"/>
    </row>
    <row r="197" spans="1:32" x14ac:dyDescent="0.25">
      <c r="A197" s="10"/>
      <c r="B197" s="10"/>
      <c r="C197" s="53"/>
      <c r="D197" s="10"/>
      <c r="E197" s="10"/>
      <c r="F197" s="99"/>
      <c r="G197" s="10"/>
      <c r="H197" s="10"/>
      <c r="I197" s="100"/>
      <c r="J197" s="10"/>
      <c r="K197" s="99"/>
      <c r="L197" s="105" t="e">
        <f>VLOOKUP(K197,Species!$A$2:$D$2230,2,FALSE)</f>
        <v>#N/A</v>
      </c>
      <c r="M197" s="105" t="e">
        <f>VLOOKUP(K197,Species!$A$2:$D$2230,3,FALSE)</f>
        <v>#N/A</v>
      </c>
      <c r="N197" s="105" t="e">
        <f>VLOOKUP(K197,Species!$A$2:$D$2230,4,FALSE)</f>
        <v>#N/A</v>
      </c>
      <c r="O197" s="10"/>
      <c r="P197" s="10"/>
      <c r="Q197" s="101"/>
      <c r="R197" s="99"/>
      <c r="S197" s="99"/>
      <c r="T197" s="102"/>
      <c r="U197" s="102"/>
      <c r="V197" s="102"/>
      <c r="W197" s="102"/>
      <c r="X197" s="99"/>
      <c r="Y197" s="99"/>
      <c r="Z197" s="99"/>
      <c r="AA197" s="99"/>
      <c r="AB197" s="99"/>
      <c r="AC197" s="10"/>
      <c r="AD197" s="99"/>
      <c r="AE197" s="103"/>
      <c r="AF197" s="16"/>
    </row>
    <row r="198" spans="1:32" x14ac:dyDescent="0.25">
      <c r="A198" s="10"/>
      <c r="B198" s="10"/>
      <c r="C198" s="53"/>
      <c r="D198" s="10"/>
      <c r="E198" s="10"/>
      <c r="F198" s="99"/>
      <c r="G198" s="10"/>
      <c r="H198" s="10"/>
      <c r="I198" s="100"/>
      <c r="J198" s="10"/>
      <c r="K198" s="99"/>
      <c r="L198" s="105" t="e">
        <f>VLOOKUP(K198,Species!$A$2:$D$2230,2,FALSE)</f>
        <v>#N/A</v>
      </c>
      <c r="M198" s="105" t="e">
        <f>VLOOKUP(K198,Species!$A$2:$D$2230,3,FALSE)</f>
        <v>#N/A</v>
      </c>
      <c r="N198" s="105" t="e">
        <f>VLOOKUP(K198,Species!$A$2:$D$2230,4,FALSE)</f>
        <v>#N/A</v>
      </c>
      <c r="O198" s="10"/>
      <c r="P198" s="10"/>
      <c r="Q198" s="101"/>
      <c r="R198" s="99"/>
      <c r="S198" s="99"/>
      <c r="T198" s="102"/>
      <c r="U198" s="102"/>
      <c r="V198" s="102"/>
      <c r="W198" s="102"/>
      <c r="X198" s="99"/>
      <c r="Y198" s="99"/>
      <c r="Z198" s="99"/>
      <c r="AA198" s="99"/>
      <c r="AB198" s="99"/>
      <c r="AC198" s="10"/>
      <c r="AD198" s="99"/>
      <c r="AE198" s="103"/>
      <c r="AF198" s="16"/>
    </row>
    <row r="199" spans="1:32" x14ac:dyDescent="0.25">
      <c r="A199" s="10"/>
      <c r="B199" s="10"/>
      <c r="C199" s="53"/>
      <c r="D199" s="10"/>
      <c r="E199" s="10"/>
      <c r="F199" s="99"/>
      <c r="G199" s="10"/>
      <c r="H199" s="10"/>
      <c r="I199" s="100"/>
      <c r="J199" s="10"/>
      <c r="K199" s="99"/>
      <c r="L199" s="105" t="e">
        <f>VLOOKUP(K199,Species!$A$2:$D$2230,2,FALSE)</f>
        <v>#N/A</v>
      </c>
      <c r="M199" s="105" t="e">
        <f>VLOOKUP(K199,Species!$A$2:$D$2230,3,FALSE)</f>
        <v>#N/A</v>
      </c>
      <c r="N199" s="105" t="e">
        <f>VLOOKUP(K199,Species!$A$2:$D$2230,4,FALSE)</f>
        <v>#N/A</v>
      </c>
      <c r="O199" s="10"/>
      <c r="P199" s="10"/>
      <c r="Q199" s="101"/>
      <c r="R199" s="99"/>
      <c r="S199" s="99"/>
      <c r="T199" s="102"/>
      <c r="U199" s="102"/>
      <c r="V199" s="102"/>
      <c r="W199" s="102"/>
      <c r="X199" s="99"/>
      <c r="Y199" s="99"/>
      <c r="Z199" s="99"/>
      <c r="AA199" s="99"/>
      <c r="AB199" s="99"/>
      <c r="AC199" s="10"/>
      <c r="AD199" s="99"/>
      <c r="AE199" s="103"/>
      <c r="AF199" s="16"/>
    </row>
    <row r="200" spans="1:32" x14ac:dyDescent="0.25">
      <c r="A200" s="10"/>
      <c r="B200" s="10"/>
      <c r="C200" s="53"/>
      <c r="D200" s="10"/>
      <c r="E200" s="10"/>
      <c r="F200" s="99"/>
      <c r="G200" s="10"/>
      <c r="H200" s="10"/>
      <c r="I200" s="100"/>
      <c r="J200" s="10"/>
      <c r="K200" s="99"/>
      <c r="L200" s="105" t="e">
        <f>VLOOKUP(K200,Species!$A$2:$D$2230,2,FALSE)</f>
        <v>#N/A</v>
      </c>
      <c r="M200" s="105" t="e">
        <f>VLOOKUP(K200,Species!$A$2:$D$2230,3,FALSE)</f>
        <v>#N/A</v>
      </c>
      <c r="N200" s="105" t="e">
        <f>VLOOKUP(K200,Species!$A$2:$D$2230,4,FALSE)</f>
        <v>#N/A</v>
      </c>
      <c r="O200" s="10"/>
      <c r="P200" s="10"/>
      <c r="Q200" s="101"/>
      <c r="R200" s="99"/>
      <c r="S200" s="99"/>
      <c r="T200" s="102"/>
      <c r="U200" s="102"/>
      <c r="V200" s="102"/>
      <c r="W200" s="102"/>
      <c r="X200" s="99"/>
      <c r="Y200" s="99"/>
      <c r="Z200" s="99"/>
      <c r="AA200" s="99"/>
      <c r="AB200" s="99"/>
      <c r="AC200" s="10"/>
      <c r="AD200" s="99"/>
      <c r="AE200" s="103"/>
      <c r="AF200" s="16"/>
    </row>
  </sheetData>
  <pageMargins left="0.7" right="0.7" top="0.75" bottom="0.75" header="0.3" footer="0.3"/>
  <extLst>
    <ext xmlns:x14="http://schemas.microsoft.com/office/spreadsheetml/2009/9/main" uri="{CCE6A557-97BC-4b89-ADB6-D9C93CAAB3DF}">
      <x14:dataValidations xmlns:xm="http://schemas.microsoft.com/office/excel/2006/main" count="14">
        <x14:dataValidation type="list" allowBlank="1" showInputMessage="1" showErrorMessage="1" xr:uid="{AB428181-64D3-4364-9AC8-BDA194C3AE63}">
          <x14:formula1>
            <xm:f>'Look-up Values'!$J$2:$J$5</xm:f>
          </x14:formula1>
          <xm:sqref>C2:C200</xm:sqref>
        </x14:dataValidation>
        <x14:dataValidation type="list" allowBlank="1" showInputMessage="1" showErrorMessage="1" xr:uid="{B5E6FA44-0EF4-4066-9FA4-B9908996789B}">
          <x14:formula1>
            <xm:f>'Look-up Values'!$K$2:$K$5</xm:f>
          </x14:formula1>
          <xm:sqref>F2:F200</xm:sqref>
        </x14:dataValidation>
        <x14:dataValidation type="list" allowBlank="1" showInputMessage="1" showErrorMessage="1" xr:uid="{5B1CD56B-4CF0-4470-886A-31691F7225E6}">
          <x14:formula1>
            <xm:f>'Look-up Values'!$L$2:$L$7</xm:f>
          </x14:formula1>
          <xm:sqref>I2:I200</xm:sqref>
        </x14:dataValidation>
        <x14:dataValidation type="list" allowBlank="1" showInputMessage="1" showErrorMessage="1" xr:uid="{F63DDF11-FF1F-4BA1-BB07-649F0EEBAF39}">
          <x14:formula1>
            <xm:f>Species!$A$2:$A$2230</xm:f>
          </x14:formula1>
          <xm:sqref>K2:K200</xm:sqref>
        </x14:dataValidation>
        <x14:dataValidation type="list" allowBlank="1" showInputMessage="1" showErrorMessage="1" xr:uid="{DCF14F12-7E30-455B-B347-C7BD720AE87B}">
          <x14:formula1>
            <xm:f>'Look-up Values'!$N$2:$N$5</xm:f>
          </x14:formula1>
          <xm:sqref>Q2:Q200</xm:sqref>
        </x14:dataValidation>
        <x14:dataValidation type="list" allowBlank="1" showInputMessage="1" showErrorMessage="1" xr:uid="{5E6A8E92-B5DA-4889-89E5-57F1D1137694}">
          <x14:formula1>
            <xm:f>'Look-up Values'!$A$2:$A$33</xm:f>
          </x14:formula1>
          <xm:sqref>R2:R200</xm:sqref>
        </x14:dataValidation>
        <x14:dataValidation type="list" allowBlank="1" showInputMessage="1" showErrorMessage="1" xr:uid="{7831C07B-1D29-4FE7-8AF0-56B44E53C1EB}">
          <x14:formula1>
            <xm:f>'Look-up Values'!$C$2:$C$8</xm:f>
          </x14:formula1>
          <xm:sqref>T2:V200</xm:sqref>
        </x14:dataValidation>
        <x14:dataValidation type="list" allowBlank="1" showInputMessage="1" showErrorMessage="1" xr:uid="{47EFD86D-7172-4A19-8B11-705033C3C6BE}">
          <x14:formula1>
            <xm:f>'Look-up Values'!$D$2:$D$3</xm:f>
          </x14:formula1>
          <xm:sqref>W2:W200</xm:sqref>
        </x14:dataValidation>
        <x14:dataValidation type="list" allowBlank="1" showInputMessage="1" showErrorMessage="1" xr:uid="{1E166D43-B74F-4CCD-B1EA-5F0502EF5789}">
          <x14:formula1>
            <xm:f>'Look-up Values'!$F$2:$F$11</xm:f>
          </x14:formula1>
          <xm:sqref>Z2:Z200</xm:sqref>
        </x14:dataValidation>
        <x14:dataValidation type="list" allowBlank="1" showInputMessage="1" showErrorMessage="1" xr:uid="{D38786A2-FB17-438D-94D2-88DBB21D9D22}">
          <x14:formula1>
            <xm:f>'Look-up Values'!$G$2:$G$8</xm:f>
          </x14:formula1>
          <xm:sqref>AB2:AB200</xm:sqref>
        </x14:dataValidation>
        <x14:dataValidation type="list" allowBlank="1" showInputMessage="1" showErrorMessage="1" xr:uid="{B1228522-5120-4C46-B456-198495BF116A}">
          <x14:formula1>
            <xm:f>'Look-up Values'!$H$2:$H$7</xm:f>
          </x14:formula1>
          <xm:sqref>AD2:AD200</xm:sqref>
        </x14:dataValidation>
        <x14:dataValidation type="list" allowBlank="1" showInputMessage="1" showErrorMessage="1" xr:uid="{54155C55-28CB-4D68-A7E0-4195CDA802C7}">
          <x14:formula1>
            <xm:f>'Look-up Values'!$I$2:$I$6</xm:f>
          </x14:formula1>
          <xm:sqref>AE2:AE200</xm:sqref>
        </x14:dataValidation>
        <x14:dataValidation type="list" allowBlank="1" showInputMessage="1" showErrorMessage="1" xr:uid="{61511D28-689E-476F-984A-C7B7A94E48B5}">
          <x14:formula1>
            <xm:f>'Look-up Values'!$B$2:$B$23</xm:f>
          </x14:formula1>
          <xm:sqref>S2:S200</xm:sqref>
        </x14:dataValidation>
        <x14:dataValidation type="list" allowBlank="1" showInputMessage="1" showErrorMessage="1" xr:uid="{432E8F13-1528-4F09-A139-B72317A40C5E}">
          <x14:formula1>
            <xm:f>'Look-up Values'!$E$2:$E$11</xm:f>
          </x14:formula1>
          <xm:sqref>X27:X200 X2:X25 Z26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030F-A54C-440D-885A-0AEBD11AFD08}">
  <dimension ref="A1:AO200"/>
  <sheetViews>
    <sheetView topLeftCell="AB1" workbookViewId="0">
      <selection activeCell="AG4" sqref="AG4"/>
    </sheetView>
  </sheetViews>
  <sheetFormatPr defaultRowHeight="15" x14ac:dyDescent="0.25"/>
  <cols>
    <col min="1" max="1" width="19" bestFit="1" customWidth="1"/>
    <col min="2" max="2" width="19" customWidth="1"/>
    <col min="4" max="4" width="9.42578125" bestFit="1" customWidth="1"/>
    <col min="5" max="5" width="11.42578125" bestFit="1" customWidth="1"/>
    <col min="7" max="7" width="8.7109375" bestFit="1" customWidth="1"/>
    <col min="8" max="9" width="10.7109375" bestFit="1" customWidth="1"/>
    <col min="10" max="10" width="14.85546875" bestFit="1" customWidth="1"/>
    <col min="11" max="11" width="14.85546875" customWidth="1"/>
    <col min="13" max="14" width="14.85546875" customWidth="1"/>
    <col min="16" max="17" width="14.85546875" customWidth="1"/>
    <col min="18" max="18" width="10.7109375" bestFit="1" customWidth="1"/>
    <col min="19" max="19" width="14.85546875" customWidth="1"/>
    <col min="20" max="20" width="29.85546875" customWidth="1"/>
    <col min="21" max="21" width="16.85546875" bestFit="1" customWidth="1"/>
    <col min="22" max="22" width="9.42578125" bestFit="1" customWidth="1"/>
    <col min="23" max="23" width="12" bestFit="1" customWidth="1"/>
    <col min="25" max="25" width="10.5703125" bestFit="1" customWidth="1"/>
    <col min="26" max="26" width="10.7109375" bestFit="1" customWidth="1"/>
    <col min="27" max="27" width="20.85546875" customWidth="1"/>
    <col min="28" max="28" width="38.85546875" customWidth="1"/>
    <col min="29" max="31" width="15.42578125" customWidth="1"/>
    <col min="32" max="32" width="9.85546875" bestFit="1" customWidth="1"/>
    <col min="33" max="34" width="20.7109375" customWidth="1"/>
    <col min="35" max="35" width="21" bestFit="1" customWidth="1"/>
    <col min="36" max="36" width="21" customWidth="1"/>
    <col min="37" max="37" width="19" customWidth="1"/>
    <col min="38" max="38" width="14" bestFit="1" customWidth="1"/>
    <col min="39" max="39" width="19.5703125" customWidth="1"/>
    <col min="40" max="40" width="20.5703125" customWidth="1"/>
    <col min="41" max="41" width="19.7109375" bestFit="1" customWidth="1"/>
  </cols>
  <sheetData>
    <row r="1" spans="1:41" x14ac:dyDescent="0.25">
      <c r="A1" s="51" t="s">
        <v>12</v>
      </c>
      <c r="B1" s="88" t="s">
        <v>111</v>
      </c>
      <c r="C1" s="89" t="s">
        <v>16</v>
      </c>
      <c r="D1" s="89" t="s">
        <v>20</v>
      </c>
      <c r="E1" s="89" t="s">
        <v>24</v>
      </c>
      <c r="F1" s="89" t="s">
        <v>27</v>
      </c>
      <c r="G1" s="89" t="s">
        <v>31</v>
      </c>
      <c r="H1" s="89" t="s">
        <v>35</v>
      </c>
      <c r="I1" s="90" t="s">
        <v>39</v>
      </c>
      <c r="J1" s="91" t="s">
        <v>112</v>
      </c>
      <c r="K1" s="88" t="s">
        <v>113</v>
      </c>
      <c r="L1" s="89" t="s">
        <v>16</v>
      </c>
      <c r="M1" s="89" t="s">
        <v>20</v>
      </c>
      <c r="N1" s="89" t="s">
        <v>24</v>
      </c>
      <c r="O1" s="89" t="s">
        <v>27</v>
      </c>
      <c r="P1" s="89" t="s">
        <v>31</v>
      </c>
      <c r="Q1" s="89" t="s">
        <v>35</v>
      </c>
      <c r="R1" s="90" t="s">
        <v>39</v>
      </c>
      <c r="S1" s="91" t="s">
        <v>114</v>
      </c>
      <c r="T1" s="49" t="s">
        <v>46</v>
      </c>
      <c r="U1" s="48" t="s">
        <v>48</v>
      </c>
      <c r="V1" s="48" t="s">
        <v>51</v>
      </c>
      <c r="W1" s="50" t="s">
        <v>101</v>
      </c>
      <c r="X1" s="50" t="s">
        <v>56</v>
      </c>
      <c r="Y1" s="48" t="s">
        <v>58</v>
      </c>
      <c r="Z1" s="48" t="s">
        <v>60</v>
      </c>
      <c r="AA1" s="48" t="s">
        <v>102</v>
      </c>
      <c r="AB1" s="48" t="s">
        <v>66</v>
      </c>
      <c r="AC1" s="48" t="s">
        <v>103</v>
      </c>
      <c r="AD1" s="48" t="s">
        <v>104</v>
      </c>
      <c r="AE1" s="48" t="s">
        <v>105</v>
      </c>
      <c r="AF1" s="48" t="s">
        <v>106</v>
      </c>
      <c r="AG1" s="48" t="s">
        <v>107</v>
      </c>
      <c r="AH1" s="48" t="s">
        <v>4021</v>
      </c>
      <c r="AI1" s="48" t="s">
        <v>108</v>
      </c>
      <c r="AJ1" s="48" t="s">
        <v>4022</v>
      </c>
      <c r="AK1" s="48" t="s">
        <v>74</v>
      </c>
      <c r="AL1" s="48" t="s">
        <v>76</v>
      </c>
      <c r="AM1" s="48" t="s">
        <v>109</v>
      </c>
      <c r="AN1" s="51" t="s">
        <v>110</v>
      </c>
      <c r="AO1" s="52" t="s">
        <v>82</v>
      </c>
    </row>
    <row r="2" spans="1:41" x14ac:dyDescent="0.25">
      <c r="A2" s="86"/>
      <c r="B2" s="92"/>
      <c r="C2" s="99"/>
      <c r="D2" s="10"/>
      <c r="E2" s="10"/>
      <c r="F2" s="99"/>
      <c r="G2" s="10"/>
      <c r="H2" s="10"/>
      <c r="I2" s="100"/>
      <c r="J2" s="93"/>
      <c r="K2" s="92"/>
      <c r="L2" s="99"/>
      <c r="M2" s="10"/>
      <c r="N2" s="10"/>
      <c r="O2" s="99"/>
      <c r="P2" s="10"/>
      <c r="Q2" s="10"/>
      <c r="R2" s="100"/>
      <c r="S2" s="93"/>
      <c r="T2" s="100"/>
      <c r="U2" s="105" t="e">
        <f>VLOOKUP(T2,Species!$A$2:$D$2230,2,FALSE)</f>
        <v>#N/A</v>
      </c>
      <c r="V2" s="105" t="e">
        <f>VLOOKUP(T2,Species!$A$2:$D$2230,3,FALSE)</f>
        <v>#N/A</v>
      </c>
      <c r="W2" s="105" t="e">
        <f>VLOOKUP(T2,Species!$A$2:$D$2230,4,FALSE)</f>
        <v>#N/A</v>
      </c>
      <c r="X2" s="10"/>
      <c r="Y2" s="10"/>
      <c r="Z2" s="101"/>
      <c r="AA2" s="99"/>
      <c r="AB2" s="99"/>
      <c r="AC2" s="102"/>
      <c r="AD2" s="102"/>
      <c r="AE2" s="102"/>
      <c r="AF2" s="102"/>
      <c r="AG2" s="99"/>
      <c r="AH2" s="99"/>
      <c r="AI2" s="99"/>
      <c r="AJ2" s="99"/>
      <c r="AK2" s="99"/>
      <c r="AL2" s="10"/>
      <c r="AM2" s="99"/>
      <c r="AN2" s="103"/>
      <c r="AO2" s="16"/>
    </row>
    <row r="3" spans="1:41" x14ac:dyDescent="0.25">
      <c r="A3" s="87"/>
      <c r="B3" s="94"/>
      <c r="C3" s="99"/>
      <c r="D3" s="54"/>
      <c r="E3" s="54"/>
      <c r="F3" s="99"/>
      <c r="G3" s="54"/>
      <c r="H3" s="54"/>
      <c r="I3" s="100"/>
      <c r="J3" s="95"/>
      <c r="K3" s="94"/>
      <c r="L3" s="99"/>
      <c r="M3" s="54"/>
      <c r="N3" s="54"/>
      <c r="O3" s="99"/>
      <c r="P3" s="54"/>
      <c r="Q3" s="54"/>
      <c r="R3" s="100"/>
      <c r="S3" s="95"/>
      <c r="T3" s="100"/>
      <c r="U3" s="105" t="e">
        <f>VLOOKUP(T3,Species!$A$2:$D$2230,2,FALSE)</f>
        <v>#N/A</v>
      </c>
      <c r="V3" s="105" t="e">
        <f>VLOOKUP(T3,Species!$A$2:$D$2230,3,FALSE)</f>
        <v>#N/A</v>
      </c>
      <c r="W3" s="105" t="e">
        <f>VLOOKUP(T3,Species!$A$2:$D$2230,4,FALSE)</f>
        <v>#N/A</v>
      </c>
      <c r="X3" s="54"/>
      <c r="Y3" s="54"/>
      <c r="Z3" s="101"/>
      <c r="AA3" s="99"/>
      <c r="AB3" s="99"/>
      <c r="AC3" s="102"/>
      <c r="AD3" s="102"/>
      <c r="AE3" s="102"/>
      <c r="AF3" s="102"/>
      <c r="AG3" s="102"/>
      <c r="AH3" s="102"/>
      <c r="AI3" s="99"/>
      <c r="AJ3" s="99"/>
      <c r="AK3" s="102"/>
      <c r="AL3" s="54"/>
      <c r="AM3" s="102"/>
      <c r="AN3" s="104"/>
      <c r="AO3" s="16"/>
    </row>
    <row r="4" spans="1:41" x14ac:dyDescent="0.25">
      <c r="A4" s="86"/>
      <c r="B4" s="92"/>
      <c r="C4" s="99"/>
      <c r="D4" s="10"/>
      <c r="E4" s="10"/>
      <c r="F4" s="99"/>
      <c r="G4" s="10"/>
      <c r="H4" s="10"/>
      <c r="I4" s="100"/>
      <c r="J4" s="93"/>
      <c r="K4" s="92"/>
      <c r="L4" s="99"/>
      <c r="M4" s="10"/>
      <c r="N4" s="10"/>
      <c r="O4" s="99"/>
      <c r="P4" s="10"/>
      <c r="Q4" s="10"/>
      <c r="R4" s="100"/>
      <c r="S4" s="93"/>
      <c r="T4" s="100"/>
      <c r="U4" s="105" t="e">
        <f>VLOOKUP(T4,Species!$A$2:$D$2230,2,FALSE)</f>
        <v>#N/A</v>
      </c>
      <c r="V4" s="105" t="e">
        <f>VLOOKUP(T4,Species!$A$2:$D$2230,3,FALSE)</f>
        <v>#N/A</v>
      </c>
      <c r="W4" s="105" t="e">
        <f>VLOOKUP(T4,Species!$A$2:$D$2230,4,FALSE)</f>
        <v>#N/A</v>
      </c>
      <c r="X4" s="10"/>
      <c r="Y4" s="10"/>
      <c r="Z4" s="101"/>
      <c r="AA4" s="99"/>
      <c r="AB4" s="99"/>
      <c r="AC4" s="102"/>
      <c r="AD4" s="102"/>
      <c r="AE4" s="102"/>
      <c r="AF4" s="102"/>
      <c r="AG4" s="99"/>
      <c r="AH4" s="99"/>
      <c r="AI4" s="99"/>
      <c r="AJ4" s="99"/>
      <c r="AK4" s="99"/>
      <c r="AL4" s="10"/>
      <c r="AM4" s="99"/>
      <c r="AN4" s="103"/>
      <c r="AO4" s="16"/>
    </row>
    <row r="5" spans="1:41" x14ac:dyDescent="0.25">
      <c r="A5" s="86"/>
      <c r="B5" s="92"/>
      <c r="C5" s="99"/>
      <c r="D5" s="10"/>
      <c r="E5" s="10"/>
      <c r="F5" s="99"/>
      <c r="G5" s="10"/>
      <c r="H5" s="10"/>
      <c r="I5" s="100"/>
      <c r="J5" s="93"/>
      <c r="K5" s="92"/>
      <c r="L5" s="99"/>
      <c r="M5" s="10"/>
      <c r="N5" s="10"/>
      <c r="O5" s="99"/>
      <c r="P5" s="10"/>
      <c r="Q5" s="10"/>
      <c r="R5" s="100"/>
      <c r="S5" s="93"/>
      <c r="T5" s="100"/>
      <c r="U5" s="105" t="e">
        <f>VLOOKUP(T5,Species!$A$2:$D$2230,2,FALSE)</f>
        <v>#N/A</v>
      </c>
      <c r="V5" s="105" t="e">
        <f>VLOOKUP(T5,Species!$A$2:$D$2230,3,FALSE)</f>
        <v>#N/A</v>
      </c>
      <c r="W5" s="105" t="e">
        <f>VLOOKUP(T5,Species!$A$2:$D$2230,4,FALSE)</f>
        <v>#N/A</v>
      </c>
      <c r="X5" s="10"/>
      <c r="Y5" s="10"/>
      <c r="Z5" s="101"/>
      <c r="AA5" s="99"/>
      <c r="AB5" s="99"/>
      <c r="AC5" s="102"/>
      <c r="AD5" s="102"/>
      <c r="AE5" s="102"/>
      <c r="AF5" s="102"/>
      <c r="AG5" s="99"/>
      <c r="AH5" s="99"/>
      <c r="AI5" s="99"/>
      <c r="AJ5" s="99"/>
      <c r="AK5" s="99"/>
      <c r="AL5" s="10"/>
      <c r="AM5" s="99"/>
      <c r="AN5" s="103"/>
      <c r="AO5" s="16"/>
    </row>
    <row r="6" spans="1:41" x14ac:dyDescent="0.25">
      <c r="A6" s="86"/>
      <c r="B6" s="92"/>
      <c r="C6" s="99"/>
      <c r="D6" s="10"/>
      <c r="E6" s="10"/>
      <c r="F6" s="99"/>
      <c r="G6" s="10"/>
      <c r="H6" s="10"/>
      <c r="I6" s="100"/>
      <c r="J6" s="93"/>
      <c r="K6" s="92"/>
      <c r="L6" s="99"/>
      <c r="M6" s="10"/>
      <c r="N6" s="10"/>
      <c r="O6" s="99"/>
      <c r="P6" s="10"/>
      <c r="Q6" s="10"/>
      <c r="R6" s="100"/>
      <c r="S6" s="93"/>
      <c r="T6" s="100"/>
      <c r="U6" s="105" t="e">
        <f>VLOOKUP(T6,Species!$A$2:$D$2230,2,FALSE)</f>
        <v>#N/A</v>
      </c>
      <c r="V6" s="105" t="e">
        <f>VLOOKUP(T6,Species!$A$2:$D$2230,3,FALSE)</f>
        <v>#N/A</v>
      </c>
      <c r="W6" s="105" t="e">
        <f>VLOOKUP(T6,Species!$A$2:$D$2230,4,FALSE)</f>
        <v>#N/A</v>
      </c>
      <c r="X6" s="10"/>
      <c r="Y6" s="10"/>
      <c r="Z6" s="101"/>
      <c r="AA6" s="99"/>
      <c r="AB6" s="99"/>
      <c r="AC6" s="102"/>
      <c r="AD6" s="102"/>
      <c r="AE6" s="102"/>
      <c r="AF6" s="102"/>
      <c r="AG6" s="99"/>
      <c r="AH6" s="99"/>
      <c r="AI6" s="99"/>
      <c r="AJ6" s="99"/>
      <c r="AK6" s="99"/>
      <c r="AL6" s="10"/>
      <c r="AM6" s="99"/>
      <c r="AN6" s="103"/>
      <c r="AO6" s="16"/>
    </row>
    <row r="7" spans="1:41" x14ac:dyDescent="0.25">
      <c r="A7" s="86"/>
      <c r="B7" s="92"/>
      <c r="C7" s="99"/>
      <c r="D7" s="10"/>
      <c r="E7" s="10"/>
      <c r="F7" s="99"/>
      <c r="G7" s="10"/>
      <c r="H7" s="10"/>
      <c r="I7" s="100"/>
      <c r="J7" s="93"/>
      <c r="K7" s="92"/>
      <c r="L7" s="99"/>
      <c r="M7" s="10"/>
      <c r="N7" s="10"/>
      <c r="O7" s="99"/>
      <c r="P7" s="10"/>
      <c r="Q7" s="10"/>
      <c r="R7" s="100"/>
      <c r="S7" s="93"/>
      <c r="T7" s="100"/>
      <c r="U7" s="105" t="e">
        <f>VLOOKUP(T7,Species!$A$2:$D$2230,2,FALSE)</f>
        <v>#N/A</v>
      </c>
      <c r="V7" s="105" t="e">
        <f>VLOOKUP(T7,Species!$A$2:$D$2230,3,FALSE)</f>
        <v>#N/A</v>
      </c>
      <c r="W7" s="105" t="e">
        <f>VLOOKUP(T7,Species!$A$2:$D$2230,4,FALSE)</f>
        <v>#N/A</v>
      </c>
      <c r="X7" s="10"/>
      <c r="Y7" s="10"/>
      <c r="Z7" s="101"/>
      <c r="AA7" s="99"/>
      <c r="AB7" s="99"/>
      <c r="AC7" s="102"/>
      <c r="AD7" s="102"/>
      <c r="AE7" s="102"/>
      <c r="AF7" s="102"/>
      <c r="AG7" s="99"/>
      <c r="AH7" s="99"/>
      <c r="AI7" s="99"/>
      <c r="AJ7" s="99"/>
      <c r="AK7" s="99"/>
      <c r="AL7" s="10"/>
      <c r="AM7" s="99"/>
      <c r="AN7" s="103"/>
      <c r="AO7" s="16"/>
    </row>
    <row r="8" spans="1:41" x14ac:dyDescent="0.25">
      <c r="A8" s="86"/>
      <c r="B8" s="92"/>
      <c r="C8" s="99"/>
      <c r="D8" s="10"/>
      <c r="E8" s="10"/>
      <c r="F8" s="99"/>
      <c r="G8" s="10"/>
      <c r="H8" s="10"/>
      <c r="I8" s="100"/>
      <c r="J8" s="93"/>
      <c r="K8" s="92"/>
      <c r="L8" s="99"/>
      <c r="M8" s="10"/>
      <c r="N8" s="10"/>
      <c r="O8" s="99"/>
      <c r="P8" s="10"/>
      <c r="Q8" s="10"/>
      <c r="R8" s="100"/>
      <c r="S8" s="93"/>
      <c r="T8" s="100"/>
      <c r="U8" s="105" t="e">
        <f>VLOOKUP(T8,Species!$A$2:$D$2230,2,FALSE)</f>
        <v>#N/A</v>
      </c>
      <c r="V8" s="105" t="e">
        <f>VLOOKUP(T8,Species!$A$2:$D$2230,3,FALSE)</f>
        <v>#N/A</v>
      </c>
      <c r="W8" s="105" t="e">
        <f>VLOOKUP(T8,Species!$A$2:$D$2230,4,FALSE)</f>
        <v>#N/A</v>
      </c>
      <c r="X8" s="10"/>
      <c r="Y8" s="10"/>
      <c r="Z8" s="101"/>
      <c r="AA8" s="99"/>
      <c r="AB8" s="99"/>
      <c r="AC8" s="102"/>
      <c r="AD8" s="102"/>
      <c r="AE8" s="102"/>
      <c r="AF8" s="102"/>
      <c r="AG8" s="99"/>
      <c r="AH8" s="99"/>
      <c r="AI8" s="99"/>
      <c r="AJ8" s="99"/>
      <c r="AK8" s="99"/>
      <c r="AL8" s="10"/>
      <c r="AM8" s="99"/>
      <c r="AN8" s="103"/>
      <c r="AO8" s="16"/>
    </row>
    <row r="9" spans="1:41" x14ac:dyDescent="0.25">
      <c r="A9" s="86"/>
      <c r="B9" s="92"/>
      <c r="C9" s="99"/>
      <c r="D9" s="10"/>
      <c r="E9" s="10"/>
      <c r="F9" s="99"/>
      <c r="G9" s="10"/>
      <c r="H9" s="10"/>
      <c r="I9" s="100"/>
      <c r="J9" s="93"/>
      <c r="K9" s="92"/>
      <c r="L9" s="99"/>
      <c r="M9" s="10"/>
      <c r="N9" s="10"/>
      <c r="O9" s="99"/>
      <c r="P9" s="10"/>
      <c r="Q9" s="10"/>
      <c r="R9" s="100"/>
      <c r="S9" s="93"/>
      <c r="T9" s="100"/>
      <c r="U9" s="105" t="e">
        <f>VLOOKUP(T9,Species!$A$2:$D$2230,2,FALSE)</f>
        <v>#N/A</v>
      </c>
      <c r="V9" s="105" t="e">
        <f>VLOOKUP(T9,Species!$A$2:$D$2230,3,FALSE)</f>
        <v>#N/A</v>
      </c>
      <c r="W9" s="105" t="e">
        <f>VLOOKUP(T9,Species!$A$2:$D$2230,4,FALSE)</f>
        <v>#N/A</v>
      </c>
      <c r="X9" s="10"/>
      <c r="Y9" s="10"/>
      <c r="Z9" s="101"/>
      <c r="AA9" s="99"/>
      <c r="AB9" s="99"/>
      <c r="AC9" s="102"/>
      <c r="AD9" s="102"/>
      <c r="AE9" s="102"/>
      <c r="AF9" s="102"/>
      <c r="AG9" s="99"/>
      <c r="AH9" s="99"/>
      <c r="AI9" s="99"/>
      <c r="AJ9" s="99"/>
      <c r="AK9" s="99"/>
      <c r="AL9" s="10"/>
      <c r="AM9" s="99"/>
      <c r="AN9" s="103"/>
      <c r="AO9" s="16"/>
    </row>
    <row r="10" spans="1:41" x14ac:dyDescent="0.25">
      <c r="A10" s="86"/>
      <c r="B10" s="92"/>
      <c r="C10" s="99"/>
      <c r="D10" s="10"/>
      <c r="E10" s="10"/>
      <c r="F10" s="99"/>
      <c r="G10" s="10"/>
      <c r="H10" s="10"/>
      <c r="I10" s="100"/>
      <c r="J10" s="93"/>
      <c r="K10" s="92"/>
      <c r="L10" s="99"/>
      <c r="M10" s="10"/>
      <c r="N10" s="10"/>
      <c r="O10" s="99"/>
      <c r="P10" s="10"/>
      <c r="Q10" s="10"/>
      <c r="R10" s="100"/>
      <c r="S10" s="93"/>
      <c r="T10" s="100"/>
      <c r="U10" s="105" t="e">
        <f>VLOOKUP(T10,Species!$A$2:$D$2230,2,FALSE)</f>
        <v>#N/A</v>
      </c>
      <c r="V10" s="105" t="e">
        <f>VLOOKUP(T10,Species!$A$2:$D$2230,3,FALSE)</f>
        <v>#N/A</v>
      </c>
      <c r="W10" s="105" t="e">
        <f>VLOOKUP(T10,Species!$A$2:$D$2230,4,FALSE)</f>
        <v>#N/A</v>
      </c>
      <c r="X10" s="10"/>
      <c r="Y10" s="10"/>
      <c r="Z10" s="101"/>
      <c r="AA10" s="99"/>
      <c r="AB10" s="99"/>
      <c r="AC10" s="102"/>
      <c r="AD10" s="102"/>
      <c r="AE10" s="102"/>
      <c r="AF10" s="102"/>
      <c r="AG10" s="99"/>
      <c r="AH10" s="99"/>
      <c r="AI10" s="99"/>
      <c r="AJ10" s="99"/>
      <c r="AK10" s="99"/>
      <c r="AL10" s="10"/>
      <c r="AM10" s="99"/>
      <c r="AN10" s="103"/>
      <c r="AO10" s="16"/>
    </row>
    <row r="11" spans="1:41" x14ac:dyDescent="0.25">
      <c r="A11" s="86"/>
      <c r="B11" s="92"/>
      <c r="C11" s="99"/>
      <c r="D11" s="10"/>
      <c r="E11" s="10"/>
      <c r="F11" s="99"/>
      <c r="G11" s="10"/>
      <c r="H11" s="10"/>
      <c r="I11" s="100"/>
      <c r="J11" s="93"/>
      <c r="K11" s="92"/>
      <c r="L11" s="99"/>
      <c r="M11" s="10"/>
      <c r="N11" s="10"/>
      <c r="O11" s="99"/>
      <c r="P11" s="10"/>
      <c r="Q11" s="10"/>
      <c r="R11" s="100"/>
      <c r="S11" s="93"/>
      <c r="T11" s="100"/>
      <c r="U11" s="105" t="e">
        <f>VLOOKUP(T11,Species!$A$2:$D$2230,2,FALSE)</f>
        <v>#N/A</v>
      </c>
      <c r="V11" s="105" t="e">
        <f>VLOOKUP(T11,Species!$A$2:$D$2230,3,FALSE)</f>
        <v>#N/A</v>
      </c>
      <c r="W11" s="105" t="e">
        <f>VLOOKUP(T11,Species!$A$2:$D$2230,4,FALSE)</f>
        <v>#N/A</v>
      </c>
      <c r="X11" s="10"/>
      <c r="Y11" s="10"/>
      <c r="Z11" s="101"/>
      <c r="AA11" s="99"/>
      <c r="AB11" s="99"/>
      <c r="AC11" s="102"/>
      <c r="AD11" s="102"/>
      <c r="AE11" s="102"/>
      <c r="AF11" s="102"/>
      <c r="AG11" s="99"/>
      <c r="AH11" s="99"/>
      <c r="AI11" s="99"/>
      <c r="AJ11" s="99"/>
      <c r="AK11" s="99"/>
      <c r="AL11" s="10"/>
      <c r="AM11" s="99"/>
      <c r="AN11" s="103"/>
      <c r="AO11" s="16"/>
    </row>
    <row r="12" spans="1:41" x14ac:dyDescent="0.25">
      <c r="A12" s="87"/>
      <c r="B12" s="94"/>
      <c r="C12" s="99"/>
      <c r="D12" s="54"/>
      <c r="E12" s="54"/>
      <c r="F12" s="99"/>
      <c r="G12" s="54"/>
      <c r="H12" s="54"/>
      <c r="I12" s="100"/>
      <c r="J12" s="95"/>
      <c r="K12" s="94"/>
      <c r="L12" s="99"/>
      <c r="M12" s="54"/>
      <c r="N12" s="54"/>
      <c r="O12" s="99"/>
      <c r="P12" s="54"/>
      <c r="Q12" s="54"/>
      <c r="R12" s="100"/>
      <c r="S12" s="95"/>
      <c r="T12" s="100"/>
      <c r="U12" s="105" t="e">
        <f>VLOOKUP(T12,Species!$A$2:$D$2230,2,FALSE)</f>
        <v>#N/A</v>
      </c>
      <c r="V12" s="105" t="e">
        <f>VLOOKUP(T12,Species!$A$2:$D$2230,3,FALSE)</f>
        <v>#N/A</v>
      </c>
      <c r="W12" s="105" t="e">
        <f>VLOOKUP(T12,Species!$A$2:$D$2230,4,FALSE)</f>
        <v>#N/A</v>
      </c>
      <c r="X12" s="54"/>
      <c r="Y12" s="54"/>
      <c r="Z12" s="101"/>
      <c r="AA12" s="102"/>
      <c r="AB12" s="99"/>
      <c r="AC12" s="102"/>
      <c r="AD12" s="102"/>
      <c r="AE12" s="102"/>
      <c r="AF12" s="102"/>
      <c r="AG12" s="102"/>
      <c r="AH12" s="102"/>
      <c r="AI12" s="102"/>
      <c r="AJ12" s="102"/>
      <c r="AK12" s="102"/>
      <c r="AL12" s="54"/>
      <c r="AM12" s="102"/>
      <c r="AN12" s="104"/>
      <c r="AO12" s="16"/>
    </row>
    <row r="13" spans="1:41" x14ac:dyDescent="0.25">
      <c r="A13" s="86"/>
      <c r="B13" s="92"/>
      <c r="C13" s="99"/>
      <c r="D13" s="10"/>
      <c r="E13" s="10"/>
      <c r="F13" s="99"/>
      <c r="G13" s="10"/>
      <c r="H13" s="10"/>
      <c r="I13" s="100"/>
      <c r="J13" s="93"/>
      <c r="K13" s="92"/>
      <c r="L13" s="99"/>
      <c r="M13" s="10"/>
      <c r="N13" s="10"/>
      <c r="O13" s="99"/>
      <c r="P13" s="10"/>
      <c r="Q13" s="10"/>
      <c r="R13" s="100"/>
      <c r="S13" s="93"/>
      <c r="T13" s="100"/>
      <c r="U13" s="105" t="e">
        <f>VLOOKUP(T13,Species!$A$2:$D$2230,2,FALSE)</f>
        <v>#N/A</v>
      </c>
      <c r="V13" s="105" t="e">
        <f>VLOOKUP(T13,Species!$A$2:$D$2230,3,FALSE)</f>
        <v>#N/A</v>
      </c>
      <c r="W13" s="105" t="e">
        <f>VLOOKUP(T13,Species!$A$2:$D$2230,4,FALSE)</f>
        <v>#N/A</v>
      </c>
      <c r="X13" s="10"/>
      <c r="Y13" s="10"/>
      <c r="Z13" s="101"/>
      <c r="AA13" s="99"/>
      <c r="AB13" s="99"/>
      <c r="AC13" s="102"/>
      <c r="AD13" s="102"/>
      <c r="AE13" s="102"/>
      <c r="AF13" s="102"/>
      <c r="AG13" s="99"/>
      <c r="AH13" s="99"/>
      <c r="AI13" s="99"/>
      <c r="AJ13" s="99"/>
      <c r="AK13" s="99"/>
      <c r="AL13" s="10"/>
      <c r="AM13" s="99"/>
      <c r="AN13" s="103"/>
      <c r="AO13" s="16"/>
    </row>
    <row r="14" spans="1:41" x14ac:dyDescent="0.25">
      <c r="A14" s="86"/>
      <c r="B14" s="92"/>
      <c r="C14" s="99"/>
      <c r="D14" s="10"/>
      <c r="E14" s="10"/>
      <c r="F14" s="99"/>
      <c r="G14" s="10"/>
      <c r="H14" s="10"/>
      <c r="I14" s="100"/>
      <c r="J14" s="93"/>
      <c r="K14" s="92"/>
      <c r="L14" s="99"/>
      <c r="M14" s="10"/>
      <c r="N14" s="10"/>
      <c r="O14" s="99"/>
      <c r="P14" s="10"/>
      <c r="Q14" s="10"/>
      <c r="R14" s="100"/>
      <c r="S14" s="93"/>
      <c r="T14" s="100"/>
      <c r="U14" s="105" t="e">
        <f>VLOOKUP(T14,Species!$A$2:$D$2230,2,FALSE)</f>
        <v>#N/A</v>
      </c>
      <c r="V14" s="105" t="e">
        <f>VLOOKUP(T14,Species!$A$2:$D$2230,3,FALSE)</f>
        <v>#N/A</v>
      </c>
      <c r="W14" s="105" t="e">
        <f>VLOOKUP(T14,Species!$A$2:$D$2230,4,FALSE)</f>
        <v>#N/A</v>
      </c>
      <c r="X14" s="10"/>
      <c r="Y14" s="10"/>
      <c r="Z14" s="101"/>
      <c r="AA14" s="99"/>
      <c r="AB14" s="99"/>
      <c r="AC14" s="102"/>
      <c r="AD14" s="102"/>
      <c r="AE14" s="102"/>
      <c r="AF14" s="102"/>
      <c r="AG14" s="99"/>
      <c r="AH14" s="99"/>
      <c r="AI14" s="99"/>
      <c r="AJ14" s="99"/>
      <c r="AK14" s="99"/>
      <c r="AL14" s="10"/>
      <c r="AM14" s="99"/>
      <c r="AN14" s="103"/>
      <c r="AO14" s="16"/>
    </row>
    <row r="15" spans="1:41" x14ac:dyDescent="0.25">
      <c r="A15" s="86"/>
      <c r="B15" s="92"/>
      <c r="C15" s="99"/>
      <c r="D15" s="10"/>
      <c r="E15" s="10"/>
      <c r="F15" s="99"/>
      <c r="G15" s="10"/>
      <c r="H15" s="10"/>
      <c r="I15" s="100"/>
      <c r="J15" s="93"/>
      <c r="K15" s="92"/>
      <c r="L15" s="99"/>
      <c r="M15" s="10"/>
      <c r="N15" s="10"/>
      <c r="O15" s="99"/>
      <c r="P15" s="10"/>
      <c r="Q15" s="10"/>
      <c r="R15" s="100"/>
      <c r="S15" s="93"/>
      <c r="T15" s="100"/>
      <c r="U15" s="105" t="e">
        <f>VLOOKUP(T15,Species!$A$2:$D$2230,2,FALSE)</f>
        <v>#N/A</v>
      </c>
      <c r="V15" s="105" t="e">
        <f>VLOOKUP(T15,Species!$A$2:$D$2230,3,FALSE)</f>
        <v>#N/A</v>
      </c>
      <c r="W15" s="105" t="e">
        <f>VLOOKUP(T15,Species!$A$2:$D$2230,4,FALSE)</f>
        <v>#N/A</v>
      </c>
      <c r="X15" s="10"/>
      <c r="Y15" s="10"/>
      <c r="Z15" s="101"/>
      <c r="AA15" s="99"/>
      <c r="AB15" s="99"/>
      <c r="AC15" s="102"/>
      <c r="AD15" s="102"/>
      <c r="AE15" s="102"/>
      <c r="AF15" s="102"/>
      <c r="AG15" s="99"/>
      <c r="AH15" s="99"/>
      <c r="AI15" s="99"/>
      <c r="AJ15" s="99"/>
      <c r="AK15" s="99"/>
      <c r="AL15" s="10"/>
      <c r="AM15" s="99"/>
      <c r="AN15" s="103"/>
      <c r="AO15" s="16"/>
    </row>
    <row r="16" spans="1:41" x14ac:dyDescent="0.25">
      <c r="A16" s="86"/>
      <c r="B16" s="92"/>
      <c r="C16" s="99"/>
      <c r="D16" s="10"/>
      <c r="E16" s="10"/>
      <c r="F16" s="99"/>
      <c r="G16" s="10"/>
      <c r="H16" s="10"/>
      <c r="I16" s="100"/>
      <c r="J16" s="93"/>
      <c r="K16" s="92"/>
      <c r="L16" s="99"/>
      <c r="M16" s="10"/>
      <c r="N16" s="10"/>
      <c r="O16" s="99"/>
      <c r="P16" s="10"/>
      <c r="Q16" s="10"/>
      <c r="R16" s="100"/>
      <c r="S16" s="93"/>
      <c r="T16" s="100"/>
      <c r="U16" s="105" t="e">
        <f>VLOOKUP(T16,Species!$A$2:$D$2230,2,FALSE)</f>
        <v>#N/A</v>
      </c>
      <c r="V16" s="105" t="e">
        <f>VLOOKUP(T16,Species!$A$2:$D$2230,3,FALSE)</f>
        <v>#N/A</v>
      </c>
      <c r="W16" s="105" t="e">
        <f>VLOOKUP(T16,Species!$A$2:$D$2230,4,FALSE)</f>
        <v>#N/A</v>
      </c>
      <c r="X16" s="10"/>
      <c r="Y16" s="10"/>
      <c r="Z16" s="101"/>
      <c r="AA16" s="99"/>
      <c r="AB16" s="99"/>
      <c r="AC16" s="102"/>
      <c r="AD16" s="102"/>
      <c r="AE16" s="102"/>
      <c r="AF16" s="102"/>
      <c r="AG16" s="99"/>
      <c r="AH16" s="99"/>
      <c r="AI16" s="99"/>
      <c r="AJ16" s="99"/>
      <c r="AK16" s="99"/>
      <c r="AL16" s="10"/>
      <c r="AM16" s="99"/>
      <c r="AN16" s="103"/>
      <c r="AO16" s="16"/>
    </row>
    <row r="17" spans="1:41" x14ac:dyDescent="0.25">
      <c r="A17" s="86"/>
      <c r="B17" s="92"/>
      <c r="C17" s="99"/>
      <c r="D17" s="10"/>
      <c r="E17" s="10"/>
      <c r="F17" s="99"/>
      <c r="G17" s="10"/>
      <c r="H17" s="10"/>
      <c r="I17" s="100"/>
      <c r="J17" s="93"/>
      <c r="K17" s="92"/>
      <c r="L17" s="99"/>
      <c r="M17" s="10"/>
      <c r="N17" s="10"/>
      <c r="O17" s="99"/>
      <c r="P17" s="10"/>
      <c r="Q17" s="10"/>
      <c r="R17" s="100"/>
      <c r="S17" s="93"/>
      <c r="T17" s="100"/>
      <c r="U17" s="105" t="e">
        <f>VLOOKUP(T17,Species!$A$2:$D$2230,2,FALSE)</f>
        <v>#N/A</v>
      </c>
      <c r="V17" s="105" t="e">
        <f>VLOOKUP(T17,Species!$A$2:$D$2230,3,FALSE)</f>
        <v>#N/A</v>
      </c>
      <c r="W17" s="105" t="e">
        <f>VLOOKUP(T17,Species!$A$2:$D$2230,4,FALSE)</f>
        <v>#N/A</v>
      </c>
      <c r="X17" s="10"/>
      <c r="Y17" s="10"/>
      <c r="Z17" s="101"/>
      <c r="AA17" s="99"/>
      <c r="AB17" s="99"/>
      <c r="AC17" s="102"/>
      <c r="AD17" s="102"/>
      <c r="AE17" s="102"/>
      <c r="AF17" s="102"/>
      <c r="AG17" s="99"/>
      <c r="AH17" s="99"/>
      <c r="AI17" s="99"/>
      <c r="AJ17" s="99"/>
      <c r="AK17" s="99"/>
      <c r="AL17" s="10"/>
      <c r="AM17" s="99"/>
      <c r="AN17" s="103"/>
      <c r="AO17" s="16"/>
    </row>
    <row r="18" spans="1:41" x14ac:dyDescent="0.25">
      <c r="A18" s="86"/>
      <c r="B18" s="92"/>
      <c r="C18" s="99"/>
      <c r="D18" s="10"/>
      <c r="E18" s="10"/>
      <c r="F18" s="99"/>
      <c r="G18" s="10"/>
      <c r="H18" s="10"/>
      <c r="I18" s="100"/>
      <c r="J18" s="93"/>
      <c r="K18" s="92"/>
      <c r="L18" s="99"/>
      <c r="M18" s="10"/>
      <c r="N18" s="10"/>
      <c r="O18" s="99"/>
      <c r="P18" s="10"/>
      <c r="Q18" s="10"/>
      <c r="R18" s="100"/>
      <c r="S18" s="93"/>
      <c r="T18" s="100"/>
      <c r="U18" s="105" t="e">
        <f>VLOOKUP(T18,Species!$A$2:$D$2230,2,FALSE)</f>
        <v>#N/A</v>
      </c>
      <c r="V18" s="105" t="e">
        <f>VLOOKUP(T18,Species!$A$2:$D$2230,3,FALSE)</f>
        <v>#N/A</v>
      </c>
      <c r="W18" s="105" t="e">
        <f>VLOOKUP(T18,Species!$A$2:$D$2230,4,FALSE)</f>
        <v>#N/A</v>
      </c>
      <c r="X18" s="10"/>
      <c r="Y18" s="10"/>
      <c r="Z18" s="101"/>
      <c r="AA18" s="99"/>
      <c r="AB18" s="99"/>
      <c r="AC18" s="102"/>
      <c r="AD18" s="102"/>
      <c r="AE18" s="102"/>
      <c r="AF18" s="102"/>
      <c r="AG18" s="99"/>
      <c r="AH18" s="99"/>
      <c r="AI18" s="99"/>
      <c r="AJ18" s="99"/>
      <c r="AK18" s="99"/>
      <c r="AL18" s="10"/>
      <c r="AM18" s="99"/>
      <c r="AN18" s="103"/>
      <c r="AO18" s="16"/>
    </row>
    <row r="19" spans="1:41" x14ac:dyDescent="0.25">
      <c r="A19" s="86"/>
      <c r="B19" s="92"/>
      <c r="C19" s="99"/>
      <c r="D19" s="10"/>
      <c r="E19" s="10"/>
      <c r="F19" s="99"/>
      <c r="G19" s="10"/>
      <c r="H19" s="10"/>
      <c r="I19" s="100"/>
      <c r="J19" s="93"/>
      <c r="K19" s="92"/>
      <c r="L19" s="99"/>
      <c r="M19" s="10"/>
      <c r="N19" s="10"/>
      <c r="O19" s="99"/>
      <c r="P19" s="10"/>
      <c r="Q19" s="10"/>
      <c r="R19" s="100"/>
      <c r="S19" s="93"/>
      <c r="T19" s="100"/>
      <c r="U19" s="105" t="e">
        <f>VLOOKUP(T19,Species!$A$2:$D$2230,2,FALSE)</f>
        <v>#N/A</v>
      </c>
      <c r="V19" s="105" t="e">
        <f>VLOOKUP(T19,Species!$A$2:$D$2230,3,FALSE)</f>
        <v>#N/A</v>
      </c>
      <c r="W19" s="105" t="e">
        <f>VLOOKUP(T19,Species!$A$2:$D$2230,4,FALSE)</f>
        <v>#N/A</v>
      </c>
      <c r="X19" s="10"/>
      <c r="Y19" s="10"/>
      <c r="Z19" s="101"/>
      <c r="AA19" s="99"/>
      <c r="AB19" s="99"/>
      <c r="AC19" s="102"/>
      <c r="AD19" s="102"/>
      <c r="AE19" s="102"/>
      <c r="AF19" s="102"/>
      <c r="AG19" s="99"/>
      <c r="AH19" s="99"/>
      <c r="AI19" s="99"/>
      <c r="AJ19" s="99"/>
      <c r="AK19" s="99"/>
      <c r="AL19" s="10"/>
      <c r="AM19" s="99"/>
      <c r="AN19" s="103"/>
      <c r="AO19" s="16"/>
    </row>
    <row r="20" spans="1:41" x14ac:dyDescent="0.25">
      <c r="A20" s="86"/>
      <c r="B20" s="92"/>
      <c r="C20" s="99"/>
      <c r="D20" s="10"/>
      <c r="E20" s="10"/>
      <c r="F20" s="99"/>
      <c r="G20" s="10"/>
      <c r="H20" s="10"/>
      <c r="I20" s="100"/>
      <c r="J20" s="93"/>
      <c r="K20" s="92"/>
      <c r="L20" s="99"/>
      <c r="M20" s="10"/>
      <c r="N20" s="10"/>
      <c r="O20" s="99"/>
      <c r="P20" s="10"/>
      <c r="Q20" s="10"/>
      <c r="R20" s="100"/>
      <c r="S20" s="93"/>
      <c r="T20" s="100"/>
      <c r="U20" s="105" t="e">
        <f>VLOOKUP(T20,Species!$A$2:$D$2230,2,FALSE)</f>
        <v>#N/A</v>
      </c>
      <c r="V20" s="105" t="e">
        <f>VLOOKUP(T20,Species!$A$2:$D$2230,3,FALSE)</f>
        <v>#N/A</v>
      </c>
      <c r="W20" s="105" t="e">
        <f>VLOOKUP(T20,Species!$A$2:$D$2230,4,FALSE)</f>
        <v>#N/A</v>
      </c>
      <c r="X20" s="10"/>
      <c r="Y20" s="10"/>
      <c r="Z20" s="101"/>
      <c r="AA20" s="99"/>
      <c r="AB20" s="99"/>
      <c r="AC20" s="102"/>
      <c r="AD20" s="102"/>
      <c r="AE20" s="102"/>
      <c r="AF20" s="102"/>
      <c r="AG20" s="99"/>
      <c r="AH20" s="99"/>
      <c r="AI20" s="99"/>
      <c r="AJ20" s="99"/>
      <c r="AK20" s="99"/>
      <c r="AL20" s="10"/>
      <c r="AM20" s="99"/>
      <c r="AN20" s="103"/>
      <c r="AO20" s="16"/>
    </row>
    <row r="21" spans="1:41" x14ac:dyDescent="0.25">
      <c r="A21" s="87"/>
      <c r="B21" s="94"/>
      <c r="C21" s="99"/>
      <c r="D21" s="54"/>
      <c r="E21" s="54"/>
      <c r="F21" s="99"/>
      <c r="G21" s="54"/>
      <c r="H21" s="54"/>
      <c r="I21" s="100"/>
      <c r="J21" s="95"/>
      <c r="K21" s="94"/>
      <c r="L21" s="99"/>
      <c r="M21" s="54"/>
      <c r="N21" s="54"/>
      <c r="O21" s="99"/>
      <c r="P21" s="54"/>
      <c r="Q21" s="54"/>
      <c r="R21" s="100"/>
      <c r="S21" s="95"/>
      <c r="T21" s="100"/>
      <c r="U21" s="105" t="e">
        <f>VLOOKUP(T21,Species!$A$2:$D$2230,2,FALSE)</f>
        <v>#N/A</v>
      </c>
      <c r="V21" s="105" t="e">
        <f>VLOOKUP(T21,Species!$A$2:$D$2230,3,FALSE)</f>
        <v>#N/A</v>
      </c>
      <c r="W21" s="105" t="e">
        <f>VLOOKUP(T21,Species!$A$2:$D$2230,4,FALSE)</f>
        <v>#N/A</v>
      </c>
      <c r="X21" s="54"/>
      <c r="Y21" s="54"/>
      <c r="Z21" s="101"/>
      <c r="AA21" s="99"/>
      <c r="AB21" s="99"/>
      <c r="AC21" s="102"/>
      <c r="AD21" s="102"/>
      <c r="AE21" s="102"/>
      <c r="AF21" s="102"/>
      <c r="AG21" s="102"/>
      <c r="AH21" s="102"/>
      <c r="AI21" s="102"/>
      <c r="AJ21" s="102"/>
      <c r="AK21" s="102"/>
      <c r="AL21" s="54"/>
      <c r="AM21" s="102"/>
      <c r="AN21" s="104"/>
      <c r="AO21" s="16"/>
    </row>
    <row r="22" spans="1:41" x14ac:dyDescent="0.25">
      <c r="A22" s="86"/>
      <c r="B22" s="92"/>
      <c r="C22" s="99"/>
      <c r="D22" s="10"/>
      <c r="E22" s="10"/>
      <c r="F22" s="99"/>
      <c r="G22" s="10"/>
      <c r="H22" s="10"/>
      <c r="I22" s="100"/>
      <c r="J22" s="93"/>
      <c r="K22" s="92"/>
      <c r="L22" s="99"/>
      <c r="M22" s="10"/>
      <c r="N22" s="10"/>
      <c r="O22" s="99"/>
      <c r="P22" s="10"/>
      <c r="Q22" s="10"/>
      <c r="R22" s="100"/>
      <c r="S22" s="93"/>
      <c r="T22" s="100"/>
      <c r="U22" s="105" t="e">
        <f>VLOOKUP(T22,Species!$A$2:$D$2230,2,FALSE)</f>
        <v>#N/A</v>
      </c>
      <c r="V22" s="105" t="e">
        <f>VLOOKUP(T22,Species!$A$2:$D$2230,3,FALSE)</f>
        <v>#N/A</v>
      </c>
      <c r="W22" s="105" t="e">
        <f>VLOOKUP(T22,Species!$A$2:$D$2230,4,FALSE)</f>
        <v>#N/A</v>
      </c>
      <c r="X22" s="10"/>
      <c r="Y22" s="10"/>
      <c r="Z22" s="101"/>
      <c r="AA22" s="99"/>
      <c r="AB22" s="99"/>
      <c r="AC22" s="102"/>
      <c r="AD22" s="102"/>
      <c r="AE22" s="102"/>
      <c r="AF22" s="102"/>
      <c r="AG22" s="99"/>
      <c r="AH22" s="99"/>
      <c r="AI22" s="99"/>
      <c r="AJ22" s="99"/>
      <c r="AK22" s="99"/>
      <c r="AL22" s="10"/>
      <c r="AM22" s="99"/>
      <c r="AN22" s="103"/>
      <c r="AO22" s="16"/>
    </row>
    <row r="23" spans="1:41" x14ac:dyDescent="0.25">
      <c r="A23" s="86"/>
      <c r="B23" s="92"/>
      <c r="C23" s="99"/>
      <c r="D23" s="10"/>
      <c r="E23" s="10"/>
      <c r="F23" s="99"/>
      <c r="G23" s="10"/>
      <c r="H23" s="10"/>
      <c r="I23" s="100"/>
      <c r="J23" s="93"/>
      <c r="K23" s="92"/>
      <c r="L23" s="99"/>
      <c r="M23" s="10"/>
      <c r="N23" s="10"/>
      <c r="O23" s="99"/>
      <c r="P23" s="10"/>
      <c r="Q23" s="10"/>
      <c r="R23" s="100"/>
      <c r="S23" s="93"/>
      <c r="T23" s="100"/>
      <c r="U23" s="105" t="e">
        <f>VLOOKUP(T23,Species!$A$2:$D$2230,2,FALSE)</f>
        <v>#N/A</v>
      </c>
      <c r="V23" s="105" t="e">
        <f>VLOOKUP(T23,Species!$A$2:$D$2230,3,FALSE)</f>
        <v>#N/A</v>
      </c>
      <c r="W23" s="105" t="e">
        <f>VLOOKUP(T23,Species!$A$2:$D$2230,4,FALSE)</f>
        <v>#N/A</v>
      </c>
      <c r="X23" s="10"/>
      <c r="Y23" s="10"/>
      <c r="Z23" s="101"/>
      <c r="AA23" s="99"/>
      <c r="AB23" s="99"/>
      <c r="AC23" s="102"/>
      <c r="AD23" s="102"/>
      <c r="AE23" s="102"/>
      <c r="AF23" s="102"/>
      <c r="AG23" s="99"/>
      <c r="AH23" s="99"/>
      <c r="AI23" s="99"/>
      <c r="AJ23" s="99"/>
      <c r="AK23" s="99"/>
      <c r="AL23" s="10"/>
      <c r="AM23" s="99"/>
      <c r="AN23" s="103"/>
      <c r="AO23" s="16"/>
    </row>
    <row r="24" spans="1:41" x14ac:dyDescent="0.25">
      <c r="A24" s="86"/>
      <c r="B24" s="92"/>
      <c r="C24" s="99"/>
      <c r="D24" s="10"/>
      <c r="E24" s="10"/>
      <c r="F24" s="99"/>
      <c r="G24" s="10"/>
      <c r="H24" s="10"/>
      <c r="I24" s="100"/>
      <c r="J24" s="93"/>
      <c r="K24" s="92"/>
      <c r="L24" s="99"/>
      <c r="M24" s="10"/>
      <c r="N24" s="10"/>
      <c r="O24" s="99"/>
      <c r="P24" s="10"/>
      <c r="Q24" s="10"/>
      <c r="R24" s="100"/>
      <c r="S24" s="93"/>
      <c r="T24" s="100"/>
      <c r="U24" s="105" t="e">
        <f>VLOOKUP(T24,Species!$A$2:$D$2230,2,FALSE)</f>
        <v>#N/A</v>
      </c>
      <c r="V24" s="105" t="e">
        <f>VLOOKUP(T24,Species!$A$2:$D$2230,3,FALSE)</f>
        <v>#N/A</v>
      </c>
      <c r="W24" s="105" t="e">
        <f>VLOOKUP(T24,Species!$A$2:$D$2230,4,FALSE)</f>
        <v>#N/A</v>
      </c>
      <c r="X24" s="10"/>
      <c r="Y24" s="10"/>
      <c r="Z24" s="101"/>
      <c r="AA24" s="99"/>
      <c r="AB24" s="99"/>
      <c r="AC24" s="102"/>
      <c r="AD24" s="102"/>
      <c r="AE24" s="102"/>
      <c r="AF24" s="102"/>
      <c r="AG24" s="99"/>
      <c r="AH24" s="99"/>
      <c r="AI24" s="99"/>
      <c r="AJ24" s="99"/>
      <c r="AK24" s="99"/>
      <c r="AL24" s="10"/>
      <c r="AM24" s="99"/>
      <c r="AN24" s="103"/>
      <c r="AO24" s="16"/>
    </row>
    <row r="25" spans="1:41" x14ac:dyDescent="0.25">
      <c r="A25" s="86"/>
      <c r="B25" s="92"/>
      <c r="C25" s="99"/>
      <c r="D25" s="10"/>
      <c r="E25" s="10"/>
      <c r="F25" s="99"/>
      <c r="G25" s="10"/>
      <c r="H25" s="10"/>
      <c r="I25" s="100"/>
      <c r="J25" s="93"/>
      <c r="K25" s="92"/>
      <c r="L25" s="99"/>
      <c r="M25" s="10"/>
      <c r="N25" s="10"/>
      <c r="O25" s="99"/>
      <c r="P25" s="10"/>
      <c r="Q25" s="10"/>
      <c r="R25" s="100"/>
      <c r="S25" s="93"/>
      <c r="T25" s="100"/>
      <c r="U25" s="105" t="e">
        <f>VLOOKUP(T25,Species!$A$2:$D$2230,2,FALSE)</f>
        <v>#N/A</v>
      </c>
      <c r="V25" s="105" t="e">
        <f>VLOOKUP(T25,Species!$A$2:$D$2230,3,FALSE)</f>
        <v>#N/A</v>
      </c>
      <c r="W25" s="105" t="e">
        <f>VLOOKUP(T25,Species!$A$2:$D$2230,4,FALSE)</f>
        <v>#N/A</v>
      </c>
      <c r="X25" s="10"/>
      <c r="Y25" s="10"/>
      <c r="Z25" s="101"/>
      <c r="AA25" s="99"/>
      <c r="AB25" s="99"/>
      <c r="AC25" s="102"/>
      <c r="AD25" s="102"/>
      <c r="AE25" s="102"/>
      <c r="AF25" s="102"/>
      <c r="AG25" s="99"/>
      <c r="AH25" s="99"/>
      <c r="AI25" s="99"/>
      <c r="AJ25" s="99"/>
      <c r="AK25" s="99"/>
      <c r="AL25" s="10"/>
      <c r="AM25" s="99"/>
      <c r="AN25" s="103"/>
      <c r="AO25" s="16"/>
    </row>
    <row r="26" spans="1:41" x14ac:dyDescent="0.25">
      <c r="A26" s="86"/>
      <c r="B26" s="92"/>
      <c r="C26" s="99"/>
      <c r="D26" s="10"/>
      <c r="E26" s="10"/>
      <c r="F26" s="99"/>
      <c r="G26" s="10"/>
      <c r="H26" s="10"/>
      <c r="I26" s="100"/>
      <c r="J26" s="93"/>
      <c r="K26" s="92"/>
      <c r="L26" s="99"/>
      <c r="M26" s="10"/>
      <c r="N26" s="10"/>
      <c r="O26" s="99"/>
      <c r="P26" s="10"/>
      <c r="Q26" s="10"/>
      <c r="R26" s="100"/>
      <c r="S26" s="93"/>
      <c r="T26" s="100"/>
      <c r="U26" s="105" t="e">
        <f>VLOOKUP(T26,Species!$A$2:$D$2230,2,FALSE)</f>
        <v>#N/A</v>
      </c>
      <c r="V26" s="105" t="e">
        <f>VLOOKUP(T26,Species!$A$2:$D$2230,3,FALSE)</f>
        <v>#N/A</v>
      </c>
      <c r="W26" s="105" t="e">
        <f>VLOOKUP(T26,Species!$A$2:$D$2230,4,FALSE)</f>
        <v>#N/A</v>
      </c>
      <c r="X26" s="10"/>
      <c r="Y26" s="10"/>
      <c r="Z26" s="101"/>
      <c r="AA26" s="99"/>
      <c r="AB26" s="99"/>
      <c r="AC26" s="102"/>
      <c r="AD26" s="102"/>
      <c r="AE26" s="102"/>
      <c r="AF26" s="102"/>
      <c r="AG26" s="99"/>
      <c r="AH26" s="99"/>
      <c r="AI26" s="99"/>
      <c r="AJ26" s="99"/>
      <c r="AK26" s="99"/>
      <c r="AL26" s="10"/>
      <c r="AM26" s="99"/>
      <c r="AN26" s="103"/>
      <c r="AO26" s="16"/>
    </row>
    <row r="27" spans="1:41" x14ac:dyDescent="0.25">
      <c r="A27" s="86"/>
      <c r="B27" s="92"/>
      <c r="C27" s="99"/>
      <c r="D27" s="10"/>
      <c r="E27" s="10"/>
      <c r="F27" s="99"/>
      <c r="G27" s="10"/>
      <c r="H27" s="10"/>
      <c r="I27" s="100"/>
      <c r="J27" s="93"/>
      <c r="K27" s="92"/>
      <c r="L27" s="99"/>
      <c r="M27" s="10"/>
      <c r="N27" s="10"/>
      <c r="O27" s="99"/>
      <c r="P27" s="10"/>
      <c r="Q27" s="10"/>
      <c r="R27" s="100"/>
      <c r="S27" s="93"/>
      <c r="T27" s="100"/>
      <c r="U27" s="105" t="e">
        <f>VLOOKUP(T27,Species!$A$2:$D$2230,2,FALSE)</f>
        <v>#N/A</v>
      </c>
      <c r="V27" s="105" t="e">
        <f>VLOOKUP(T27,Species!$A$2:$D$2230,3,FALSE)</f>
        <v>#N/A</v>
      </c>
      <c r="W27" s="105" t="e">
        <f>VLOOKUP(T27,Species!$A$2:$D$2230,4,FALSE)</f>
        <v>#N/A</v>
      </c>
      <c r="X27" s="10"/>
      <c r="Y27" s="10"/>
      <c r="Z27" s="101"/>
      <c r="AA27" s="99"/>
      <c r="AB27" s="99"/>
      <c r="AC27" s="102"/>
      <c r="AD27" s="102"/>
      <c r="AE27" s="102"/>
      <c r="AF27" s="102"/>
      <c r="AG27" s="99"/>
      <c r="AH27" s="99"/>
      <c r="AI27" s="99"/>
      <c r="AJ27" s="99"/>
      <c r="AK27" s="99"/>
      <c r="AL27" s="10"/>
      <c r="AM27" s="99"/>
      <c r="AN27" s="103"/>
      <c r="AO27" s="16"/>
    </row>
    <row r="28" spans="1:41" x14ac:dyDescent="0.25">
      <c r="A28" s="86"/>
      <c r="B28" s="92"/>
      <c r="C28" s="99"/>
      <c r="D28" s="10"/>
      <c r="E28" s="10"/>
      <c r="F28" s="99"/>
      <c r="G28" s="10"/>
      <c r="H28" s="10"/>
      <c r="I28" s="100"/>
      <c r="J28" s="93"/>
      <c r="K28" s="92"/>
      <c r="L28" s="99"/>
      <c r="M28" s="10"/>
      <c r="N28" s="10"/>
      <c r="O28" s="99"/>
      <c r="P28" s="10"/>
      <c r="Q28" s="10"/>
      <c r="R28" s="100"/>
      <c r="S28" s="93"/>
      <c r="T28" s="100"/>
      <c r="U28" s="105" t="e">
        <f>VLOOKUP(T28,Species!$A$2:$D$2230,2,FALSE)</f>
        <v>#N/A</v>
      </c>
      <c r="V28" s="105" t="e">
        <f>VLOOKUP(T28,Species!$A$2:$D$2230,3,FALSE)</f>
        <v>#N/A</v>
      </c>
      <c r="W28" s="105" t="e">
        <f>VLOOKUP(T28,Species!$A$2:$D$2230,4,FALSE)</f>
        <v>#N/A</v>
      </c>
      <c r="X28" s="10"/>
      <c r="Y28" s="10"/>
      <c r="Z28" s="101"/>
      <c r="AA28" s="99"/>
      <c r="AB28" s="99"/>
      <c r="AC28" s="102"/>
      <c r="AD28" s="102"/>
      <c r="AE28" s="102"/>
      <c r="AF28" s="102"/>
      <c r="AG28" s="99"/>
      <c r="AH28" s="99"/>
      <c r="AI28" s="99"/>
      <c r="AJ28" s="99"/>
      <c r="AK28" s="99"/>
      <c r="AL28" s="10"/>
      <c r="AM28" s="99"/>
      <c r="AN28" s="103"/>
      <c r="AO28" s="16"/>
    </row>
    <row r="29" spans="1:41" x14ac:dyDescent="0.25">
      <c r="A29" s="86"/>
      <c r="B29" s="92"/>
      <c r="C29" s="99"/>
      <c r="D29" s="10"/>
      <c r="E29" s="10"/>
      <c r="F29" s="99"/>
      <c r="G29" s="10"/>
      <c r="H29" s="10"/>
      <c r="I29" s="100"/>
      <c r="J29" s="93"/>
      <c r="K29" s="92"/>
      <c r="L29" s="99"/>
      <c r="M29" s="10"/>
      <c r="N29" s="10"/>
      <c r="O29" s="99"/>
      <c r="P29" s="10"/>
      <c r="Q29" s="10"/>
      <c r="R29" s="100"/>
      <c r="S29" s="93"/>
      <c r="T29" s="100"/>
      <c r="U29" s="105" t="e">
        <f>VLOOKUP(T29,Species!$A$2:$D$2230,2,FALSE)</f>
        <v>#N/A</v>
      </c>
      <c r="V29" s="105" t="e">
        <f>VLOOKUP(T29,Species!$A$2:$D$2230,3,FALSE)</f>
        <v>#N/A</v>
      </c>
      <c r="W29" s="105" t="e">
        <f>VLOOKUP(T29,Species!$A$2:$D$2230,4,FALSE)</f>
        <v>#N/A</v>
      </c>
      <c r="X29" s="10"/>
      <c r="Y29" s="10"/>
      <c r="Z29" s="101"/>
      <c r="AA29" s="99"/>
      <c r="AB29" s="99"/>
      <c r="AC29" s="102"/>
      <c r="AD29" s="102"/>
      <c r="AE29" s="102"/>
      <c r="AF29" s="102"/>
      <c r="AG29" s="99"/>
      <c r="AH29" s="99"/>
      <c r="AI29" s="99"/>
      <c r="AJ29" s="99"/>
      <c r="AK29" s="99"/>
      <c r="AL29" s="10"/>
      <c r="AM29" s="99"/>
      <c r="AN29" s="103"/>
      <c r="AO29" s="16"/>
    </row>
    <row r="30" spans="1:41" x14ac:dyDescent="0.25">
      <c r="A30" s="87"/>
      <c r="B30" s="94"/>
      <c r="C30" s="99"/>
      <c r="D30" s="54"/>
      <c r="E30" s="54"/>
      <c r="F30" s="99"/>
      <c r="G30" s="54"/>
      <c r="H30" s="54"/>
      <c r="I30" s="100"/>
      <c r="J30" s="95"/>
      <c r="K30" s="94"/>
      <c r="L30" s="99"/>
      <c r="M30" s="54"/>
      <c r="N30" s="54"/>
      <c r="O30" s="99"/>
      <c r="P30" s="54"/>
      <c r="Q30" s="54"/>
      <c r="R30" s="100"/>
      <c r="S30" s="95"/>
      <c r="T30" s="100"/>
      <c r="U30" s="105" t="e">
        <f>VLOOKUP(T30,Species!$A$2:$D$2230,2,FALSE)</f>
        <v>#N/A</v>
      </c>
      <c r="V30" s="105" t="e">
        <f>VLOOKUP(T30,Species!$A$2:$D$2230,3,FALSE)</f>
        <v>#N/A</v>
      </c>
      <c r="W30" s="105" t="e">
        <f>VLOOKUP(T30,Species!$A$2:$D$2230,4,FALSE)</f>
        <v>#N/A</v>
      </c>
      <c r="X30" s="54"/>
      <c r="Y30" s="54"/>
      <c r="Z30" s="101"/>
      <c r="AA30" s="99"/>
      <c r="AB30" s="99"/>
      <c r="AC30" s="102"/>
      <c r="AD30" s="102"/>
      <c r="AE30" s="102"/>
      <c r="AF30" s="102"/>
      <c r="AG30" s="102"/>
      <c r="AH30" s="102"/>
      <c r="AI30" s="102"/>
      <c r="AJ30" s="102"/>
      <c r="AK30" s="102"/>
      <c r="AL30" s="54"/>
      <c r="AM30" s="102"/>
      <c r="AN30" s="104"/>
      <c r="AO30" s="16"/>
    </row>
    <row r="31" spans="1:41" x14ac:dyDescent="0.25">
      <c r="A31" s="86"/>
      <c r="B31" s="92"/>
      <c r="C31" s="99"/>
      <c r="D31" s="10"/>
      <c r="E31" s="10"/>
      <c r="F31" s="99"/>
      <c r="G31" s="10"/>
      <c r="H31" s="10"/>
      <c r="I31" s="100"/>
      <c r="J31" s="93"/>
      <c r="K31" s="92"/>
      <c r="L31" s="99"/>
      <c r="M31" s="10"/>
      <c r="N31" s="10"/>
      <c r="O31" s="99"/>
      <c r="P31" s="10"/>
      <c r="Q31" s="10"/>
      <c r="R31" s="100"/>
      <c r="S31" s="93"/>
      <c r="T31" s="100"/>
      <c r="U31" s="105" t="e">
        <f>VLOOKUP(T31,Species!$A$2:$D$2230,2,FALSE)</f>
        <v>#N/A</v>
      </c>
      <c r="V31" s="105" t="e">
        <f>VLOOKUP(T31,Species!$A$2:$D$2230,3,FALSE)</f>
        <v>#N/A</v>
      </c>
      <c r="W31" s="105" t="e">
        <f>VLOOKUP(T31,Species!$A$2:$D$2230,4,FALSE)</f>
        <v>#N/A</v>
      </c>
      <c r="X31" s="10"/>
      <c r="Y31" s="10"/>
      <c r="Z31" s="101"/>
      <c r="AA31" s="99"/>
      <c r="AB31" s="99"/>
      <c r="AC31" s="102"/>
      <c r="AD31" s="102"/>
      <c r="AE31" s="102"/>
      <c r="AF31" s="102"/>
      <c r="AG31" s="99"/>
      <c r="AH31" s="99"/>
      <c r="AI31" s="99"/>
      <c r="AJ31" s="99"/>
      <c r="AK31" s="99"/>
      <c r="AL31" s="10"/>
      <c r="AM31" s="99"/>
      <c r="AN31" s="103"/>
      <c r="AO31" s="16"/>
    </row>
    <row r="32" spans="1:41" x14ac:dyDescent="0.25">
      <c r="A32" s="86"/>
      <c r="B32" s="92"/>
      <c r="C32" s="99"/>
      <c r="D32" s="10"/>
      <c r="E32" s="10"/>
      <c r="F32" s="99"/>
      <c r="G32" s="10"/>
      <c r="H32" s="10"/>
      <c r="I32" s="100"/>
      <c r="J32" s="93"/>
      <c r="K32" s="92"/>
      <c r="L32" s="99"/>
      <c r="M32" s="10"/>
      <c r="N32" s="10"/>
      <c r="O32" s="99"/>
      <c r="P32" s="10"/>
      <c r="Q32" s="10"/>
      <c r="R32" s="100"/>
      <c r="S32" s="93"/>
      <c r="T32" s="100"/>
      <c r="U32" s="105" t="e">
        <f>VLOOKUP(T32,Species!$A$2:$D$2230,2,FALSE)</f>
        <v>#N/A</v>
      </c>
      <c r="V32" s="105" t="e">
        <f>VLOOKUP(T32,Species!$A$2:$D$2230,3,FALSE)</f>
        <v>#N/A</v>
      </c>
      <c r="W32" s="105" t="e">
        <f>VLOOKUP(T32,Species!$A$2:$D$2230,4,FALSE)</f>
        <v>#N/A</v>
      </c>
      <c r="X32" s="10"/>
      <c r="Y32" s="10"/>
      <c r="Z32" s="101"/>
      <c r="AA32" s="99"/>
      <c r="AB32" s="99"/>
      <c r="AC32" s="102"/>
      <c r="AD32" s="102"/>
      <c r="AE32" s="102"/>
      <c r="AF32" s="102"/>
      <c r="AG32" s="99"/>
      <c r="AH32" s="99"/>
      <c r="AI32" s="99"/>
      <c r="AJ32" s="99"/>
      <c r="AK32" s="99"/>
      <c r="AL32" s="10"/>
      <c r="AM32" s="99"/>
      <c r="AN32" s="103"/>
      <c r="AO32" s="16"/>
    </row>
    <row r="33" spans="1:41" x14ac:dyDescent="0.25">
      <c r="A33" s="86"/>
      <c r="B33" s="92"/>
      <c r="C33" s="99"/>
      <c r="D33" s="10"/>
      <c r="E33" s="10"/>
      <c r="F33" s="99"/>
      <c r="G33" s="10"/>
      <c r="H33" s="10"/>
      <c r="I33" s="100"/>
      <c r="J33" s="93"/>
      <c r="K33" s="92"/>
      <c r="L33" s="99"/>
      <c r="M33" s="10"/>
      <c r="N33" s="10"/>
      <c r="O33" s="99"/>
      <c r="P33" s="10"/>
      <c r="Q33" s="10"/>
      <c r="R33" s="100"/>
      <c r="S33" s="93"/>
      <c r="T33" s="100"/>
      <c r="U33" s="105" t="e">
        <f>VLOOKUP(T33,Species!$A$2:$D$2230,2,FALSE)</f>
        <v>#N/A</v>
      </c>
      <c r="V33" s="105" t="e">
        <f>VLOOKUP(T33,Species!$A$2:$D$2230,3,FALSE)</f>
        <v>#N/A</v>
      </c>
      <c r="W33" s="105" t="e">
        <f>VLOOKUP(T33,Species!$A$2:$D$2230,4,FALSE)</f>
        <v>#N/A</v>
      </c>
      <c r="X33" s="10"/>
      <c r="Y33" s="10"/>
      <c r="Z33" s="101"/>
      <c r="AA33" s="99"/>
      <c r="AB33" s="99"/>
      <c r="AC33" s="102"/>
      <c r="AD33" s="102"/>
      <c r="AE33" s="102"/>
      <c r="AF33" s="102"/>
      <c r="AG33" s="99"/>
      <c r="AH33" s="99"/>
      <c r="AI33" s="99"/>
      <c r="AJ33" s="99"/>
      <c r="AK33" s="99"/>
      <c r="AL33" s="10"/>
      <c r="AM33" s="99"/>
      <c r="AN33" s="103"/>
      <c r="AO33" s="16"/>
    </row>
    <row r="34" spans="1:41" x14ac:dyDescent="0.25">
      <c r="A34" s="86"/>
      <c r="B34" s="92"/>
      <c r="C34" s="99"/>
      <c r="D34" s="10"/>
      <c r="E34" s="10"/>
      <c r="F34" s="99"/>
      <c r="G34" s="10"/>
      <c r="H34" s="10"/>
      <c r="I34" s="100"/>
      <c r="J34" s="93"/>
      <c r="K34" s="92"/>
      <c r="L34" s="99"/>
      <c r="M34" s="10"/>
      <c r="N34" s="10"/>
      <c r="O34" s="99"/>
      <c r="P34" s="10"/>
      <c r="Q34" s="10"/>
      <c r="R34" s="100"/>
      <c r="S34" s="93"/>
      <c r="T34" s="100"/>
      <c r="U34" s="105" t="e">
        <f>VLOOKUP(T34,Species!$A$2:$D$2230,2,FALSE)</f>
        <v>#N/A</v>
      </c>
      <c r="V34" s="105" t="e">
        <f>VLOOKUP(T34,Species!$A$2:$D$2230,3,FALSE)</f>
        <v>#N/A</v>
      </c>
      <c r="W34" s="105" t="e">
        <f>VLOOKUP(T34,Species!$A$2:$D$2230,4,FALSE)</f>
        <v>#N/A</v>
      </c>
      <c r="X34" s="10"/>
      <c r="Y34" s="10"/>
      <c r="Z34" s="101"/>
      <c r="AA34" s="99"/>
      <c r="AB34" s="99"/>
      <c r="AC34" s="102"/>
      <c r="AD34" s="102"/>
      <c r="AE34" s="102"/>
      <c r="AF34" s="102"/>
      <c r="AG34" s="99"/>
      <c r="AH34" s="99"/>
      <c r="AI34" s="99"/>
      <c r="AJ34" s="99"/>
      <c r="AK34" s="99"/>
      <c r="AL34" s="10"/>
      <c r="AM34" s="99"/>
      <c r="AN34" s="103"/>
      <c r="AO34" s="16"/>
    </row>
    <row r="35" spans="1:41" x14ac:dyDescent="0.25">
      <c r="A35" s="86"/>
      <c r="B35" s="92"/>
      <c r="C35" s="99"/>
      <c r="D35" s="10"/>
      <c r="E35" s="10"/>
      <c r="F35" s="99"/>
      <c r="G35" s="10"/>
      <c r="H35" s="10"/>
      <c r="I35" s="100"/>
      <c r="J35" s="93"/>
      <c r="K35" s="92"/>
      <c r="L35" s="99"/>
      <c r="M35" s="10"/>
      <c r="N35" s="10"/>
      <c r="O35" s="99"/>
      <c r="P35" s="10"/>
      <c r="Q35" s="10"/>
      <c r="R35" s="100"/>
      <c r="S35" s="93"/>
      <c r="T35" s="100"/>
      <c r="U35" s="105" t="e">
        <f>VLOOKUP(T35,Species!$A$2:$D$2230,2,FALSE)</f>
        <v>#N/A</v>
      </c>
      <c r="V35" s="105" t="e">
        <f>VLOOKUP(T35,Species!$A$2:$D$2230,3,FALSE)</f>
        <v>#N/A</v>
      </c>
      <c r="W35" s="105" t="e">
        <f>VLOOKUP(T35,Species!$A$2:$D$2230,4,FALSE)</f>
        <v>#N/A</v>
      </c>
      <c r="X35" s="10"/>
      <c r="Y35" s="10"/>
      <c r="Z35" s="101"/>
      <c r="AA35" s="99"/>
      <c r="AB35" s="99"/>
      <c r="AC35" s="102"/>
      <c r="AD35" s="102"/>
      <c r="AE35" s="102"/>
      <c r="AF35" s="102"/>
      <c r="AG35" s="99"/>
      <c r="AH35" s="99"/>
      <c r="AI35" s="99"/>
      <c r="AJ35" s="99"/>
      <c r="AK35" s="99"/>
      <c r="AL35" s="10"/>
      <c r="AM35" s="99"/>
      <c r="AN35" s="103"/>
      <c r="AO35" s="16"/>
    </row>
    <row r="36" spans="1:41" x14ac:dyDescent="0.25">
      <c r="A36" s="86"/>
      <c r="B36" s="92"/>
      <c r="C36" s="99"/>
      <c r="E36" s="10"/>
      <c r="F36" s="99"/>
      <c r="G36" s="10"/>
      <c r="H36" s="10"/>
      <c r="I36" s="100"/>
      <c r="J36" s="93"/>
      <c r="K36" s="92"/>
      <c r="L36" s="99"/>
      <c r="M36" s="10"/>
      <c r="N36" s="10"/>
      <c r="O36" s="99"/>
      <c r="P36" s="10"/>
      <c r="Q36" s="10"/>
      <c r="R36" s="100"/>
      <c r="S36" s="93"/>
      <c r="T36" s="100"/>
      <c r="U36" s="105" t="e">
        <f>VLOOKUP(T36,Species!$A$2:$D$2230,2,FALSE)</f>
        <v>#N/A</v>
      </c>
      <c r="V36" s="105" t="e">
        <f>VLOOKUP(T36,Species!$A$2:$D$2230,3,FALSE)</f>
        <v>#N/A</v>
      </c>
      <c r="W36" s="105" t="e">
        <f>VLOOKUP(T36,Species!$A$2:$D$2230,4,FALSE)</f>
        <v>#N/A</v>
      </c>
      <c r="X36" s="10"/>
      <c r="Y36" s="10"/>
      <c r="Z36" s="101"/>
      <c r="AA36" s="99"/>
      <c r="AB36" s="99"/>
      <c r="AC36" s="102"/>
      <c r="AD36" s="102"/>
      <c r="AE36" s="102"/>
      <c r="AF36" s="102"/>
      <c r="AG36" s="99"/>
      <c r="AH36" s="99"/>
      <c r="AI36" s="99"/>
      <c r="AJ36" s="99"/>
      <c r="AK36" s="99"/>
      <c r="AL36" s="10"/>
      <c r="AM36" s="99"/>
      <c r="AN36" s="103"/>
      <c r="AO36" s="16"/>
    </row>
    <row r="37" spans="1:41" x14ac:dyDescent="0.25">
      <c r="A37" s="86"/>
      <c r="B37" s="92"/>
      <c r="C37" s="99"/>
      <c r="D37" s="10"/>
      <c r="E37" s="10"/>
      <c r="F37" s="99"/>
      <c r="G37" s="10"/>
      <c r="H37" s="10"/>
      <c r="I37" s="100"/>
      <c r="J37" s="93"/>
      <c r="K37" s="92"/>
      <c r="L37" s="99"/>
      <c r="M37" s="10"/>
      <c r="N37" s="10"/>
      <c r="O37" s="99"/>
      <c r="P37" s="10"/>
      <c r="Q37" s="10"/>
      <c r="R37" s="100"/>
      <c r="S37" s="93"/>
      <c r="T37" s="100"/>
      <c r="U37" s="105" t="e">
        <f>VLOOKUP(T37,Species!$A$2:$D$2230,2,FALSE)</f>
        <v>#N/A</v>
      </c>
      <c r="V37" s="105" t="e">
        <f>VLOOKUP(T37,Species!$A$2:$D$2230,3,FALSE)</f>
        <v>#N/A</v>
      </c>
      <c r="W37" s="105" t="e">
        <f>VLOOKUP(T37,Species!$A$2:$D$2230,4,FALSE)</f>
        <v>#N/A</v>
      </c>
      <c r="X37" s="10"/>
      <c r="Y37" s="10"/>
      <c r="Z37" s="101"/>
      <c r="AA37" s="99"/>
      <c r="AB37" s="99"/>
      <c r="AC37" s="102"/>
      <c r="AD37" s="102"/>
      <c r="AE37" s="102"/>
      <c r="AF37" s="102"/>
      <c r="AG37" s="99"/>
      <c r="AH37" s="99"/>
      <c r="AI37" s="99"/>
      <c r="AJ37" s="99"/>
      <c r="AK37" s="99"/>
      <c r="AL37" s="10"/>
      <c r="AM37" s="99"/>
      <c r="AN37" s="103"/>
      <c r="AO37" s="16"/>
    </row>
    <row r="38" spans="1:41" x14ac:dyDescent="0.25">
      <c r="A38" s="86"/>
      <c r="B38" s="92"/>
      <c r="C38" s="99"/>
      <c r="D38" s="10"/>
      <c r="E38" s="10"/>
      <c r="F38" s="99"/>
      <c r="G38" s="10"/>
      <c r="H38" s="10"/>
      <c r="I38" s="100"/>
      <c r="J38" s="93"/>
      <c r="K38" s="92"/>
      <c r="L38" s="99"/>
      <c r="M38" s="10"/>
      <c r="N38" s="10"/>
      <c r="O38" s="99"/>
      <c r="P38" s="10"/>
      <c r="Q38" s="10"/>
      <c r="R38" s="100"/>
      <c r="S38" s="93"/>
      <c r="T38" s="100"/>
      <c r="U38" s="105" t="e">
        <f>VLOOKUP(T38,Species!$A$2:$D$2230,2,FALSE)</f>
        <v>#N/A</v>
      </c>
      <c r="V38" s="105" t="e">
        <f>VLOOKUP(T38,Species!$A$2:$D$2230,3,FALSE)</f>
        <v>#N/A</v>
      </c>
      <c r="W38" s="105" t="e">
        <f>VLOOKUP(T38,Species!$A$2:$D$2230,4,FALSE)</f>
        <v>#N/A</v>
      </c>
      <c r="X38" s="10"/>
      <c r="Y38" s="10"/>
      <c r="Z38" s="101"/>
      <c r="AA38" s="99"/>
      <c r="AB38" s="99"/>
      <c r="AC38" s="102"/>
      <c r="AD38" s="102"/>
      <c r="AE38" s="102"/>
      <c r="AF38" s="102"/>
      <c r="AG38" s="99"/>
      <c r="AH38" s="99"/>
      <c r="AI38" s="99"/>
      <c r="AJ38" s="99"/>
      <c r="AK38" s="99"/>
      <c r="AL38" s="10"/>
      <c r="AM38" s="99"/>
      <c r="AN38" s="103"/>
      <c r="AO38" s="16"/>
    </row>
    <row r="39" spans="1:41" x14ac:dyDescent="0.25">
      <c r="A39" s="87"/>
      <c r="B39" s="94"/>
      <c r="C39" s="99"/>
      <c r="D39" s="54"/>
      <c r="E39" s="54"/>
      <c r="F39" s="99"/>
      <c r="G39" s="54"/>
      <c r="H39" s="54"/>
      <c r="I39" s="100"/>
      <c r="J39" s="95"/>
      <c r="K39" s="94"/>
      <c r="L39" s="99"/>
      <c r="M39" s="54"/>
      <c r="N39" s="54"/>
      <c r="O39" s="99"/>
      <c r="P39" s="54"/>
      <c r="Q39" s="54"/>
      <c r="R39" s="100"/>
      <c r="S39" s="95"/>
      <c r="T39" s="100"/>
      <c r="U39" s="105" t="e">
        <f>VLOOKUP(T39,Species!$A$2:$D$2230,2,FALSE)</f>
        <v>#N/A</v>
      </c>
      <c r="V39" s="105" t="e">
        <f>VLOOKUP(T39,Species!$A$2:$D$2230,3,FALSE)</f>
        <v>#N/A</v>
      </c>
      <c r="W39" s="105" t="e">
        <f>VLOOKUP(T39,Species!$A$2:$D$2230,4,FALSE)</f>
        <v>#N/A</v>
      </c>
      <c r="X39" s="54"/>
      <c r="Y39" s="54"/>
      <c r="Z39" s="101"/>
      <c r="AA39" s="99"/>
      <c r="AB39" s="99"/>
      <c r="AC39" s="102"/>
      <c r="AD39" s="102"/>
      <c r="AE39" s="102"/>
      <c r="AF39" s="102"/>
      <c r="AG39" s="102"/>
      <c r="AH39" s="102"/>
      <c r="AI39" s="102"/>
      <c r="AJ39" s="102"/>
      <c r="AK39" s="102"/>
      <c r="AL39" s="54"/>
      <c r="AM39" s="102"/>
      <c r="AN39" s="104"/>
      <c r="AO39" s="16"/>
    </row>
    <row r="40" spans="1:41" x14ac:dyDescent="0.25">
      <c r="A40" s="86"/>
      <c r="B40" s="92"/>
      <c r="C40" s="99"/>
      <c r="D40" s="10"/>
      <c r="E40" s="10"/>
      <c r="F40" s="99"/>
      <c r="G40" s="10"/>
      <c r="H40" s="10"/>
      <c r="I40" s="100"/>
      <c r="J40" s="93"/>
      <c r="K40" s="92"/>
      <c r="L40" s="99"/>
      <c r="M40" s="10"/>
      <c r="N40" s="10"/>
      <c r="O40" s="99"/>
      <c r="P40" s="10"/>
      <c r="Q40" s="10"/>
      <c r="R40" s="100"/>
      <c r="S40" s="93"/>
      <c r="T40" s="100"/>
      <c r="U40" s="105" t="e">
        <f>VLOOKUP(T40,Species!$A$2:$D$2230,2,FALSE)</f>
        <v>#N/A</v>
      </c>
      <c r="V40" s="105" t="e">
        <f>VLOOKUP(T40,Species!$A$2:$D$2230,3,FALSE)</f>
        <v>#N/A</v>
      </c>
      <c r="W40" s="105" t="e">
        <f>VLOOKUP(T40,Species!$A$2:$D$2230,4,FALSE)</f>
        <v>#N/A</v>
      </c>
      <c r="X40" s="10"/>
      <c r="Y40" s="10"/>
      <c r="Z40" s="101"/>
      <c r="AA40" s="99"/>
      <c r="AB40" s="99"/>
      <c r="AC40" s="102"/>
      <c r="AD40" s="102"/>
      <c r="AE40" s="102"/>
      <c r="AF40" s="102"/>
      <c r="AG40" s="99"/>
      <c r="AH40" s="99"/>
      <c r="AI40" s="99"/>
      <c r="AJ40" s="99"/>
      <c r="AK40" s="99"/>
      <c r="AL40" s="10"/>
      <c r="AM40" s="99"/>
      <c r="AN40" s="103"/>
      <c r="AO40" s="16"/>
    </row>
    <row r="41" spans="1:41" x14ac:dyDescent="0.25">
      <c r="A41" s="86"/>
      <c r="B41" s="92"/>
      <c r="C41" s="99"/>
      <c r="D41" s="10"/>
      <c r="E41" s="10"/>
      <c r="F41" s="99"/>
      <c r="G41" s="10"/>
      <c r="H41" s="10"/>
      <c r="I41" s="100"/>
      <c r="J41" s="93"/>
      <c r="K41" s="92"/>
      <c r="L41" s="99"/>
      <c r="M41" s="10"/>
      <c r="N41" s="10"/>
      <c r="O41" s="99"/>
      <c r="P41" s="10"/>
      <c r="Q41" s="10"/>
      <c r="R41" s="100"/>
      <c r="S41" s="93"/>
      <c r="T41" s="100"/>
      <c r="U41" s="105" t="e">
        <f>VLOOKUP(T41,Species!$A$2:$D$2230,2,FALSE)</f>
        <v>#N/A</v>
      </c>
      <c r="V41" s="105" t="e">
        <f>VLOOKUP(T41,Species!$A$2:$D$2230,3,FALSE)</f>
        <v>#N/A</v>
      </c>
      <c r="W41" s="105" t="e">
        <f>VLOOKUP(T41,Species!$A$2:$D$2230,4,FALSE)</f>
        <v>#N/A</v>
      </c>
      <c r="X41" s="10"/>
      <c r="Y41" s="10"/>
      <c r="Z41" s="101"/>
      <c r="AA41" s="99"/>
      <c r="AB41" s="99"/>
      <c r="AC41" s="102"/>
      <c r="AD41" s="102"/>
      <c r="AE41" s="102"/>
      <c r="AF41" s="102"/>
      <c r="AG41" s="99"/>
      <c r="AH41" s="99"/>
      <c r="AI41" s="99"/>
      <c r="AJ41" s="99"/>
      <c r="AK41" s="99"/>
      <c r="AL41" s="10"/>
      <c r="AM41" s="99"/>
      <c r="AN41" s="103"/>
      <c r="AO41" s="16"/>
    </row>
    <row r="42" spans="1:41" x14ac:dyDescent="0.25">
      <c r="A42" s="86"/>
      <c r="B42" s="92"/>
      <c r="C42" s="99"/>
      <c r="D42" s="10"/>
      <c r="E42" s="10"/>
      <c r="F42" s="99"/>
      <c r="G42" s="10"/>
      <c r="H42" s="10"/>
      <c r="I42" s="100"/>
      <c r="J42" s="93"/>
      <c r="K42" s="92"/>
      <c r="L42" s="99"/>
      <c r="M42" s="10"/>
      <c r="N42" s="10"/>
      <c r="O42" s="99"/>
      <c r="P42" s="10"/>
      <c r="Q42" s="10"/>
      <c r="R42" s="100"/>
      <c r="S42" s="93"/>
      <c r="T42" s="100"/>
      <c r="U42" s="105" t="e">
        <f>VLOOKUP(T42,Species!$A$2:$D$2230,2,FALSE)</f>
        <v>#N/A</v>
      </c>
      <c r="V42" s="105" t="e">
        <f>VLOOKUP(T42,Species!$A$2:$D$2230,3,FALSE)</f>
        <v>#N/A</v>
      </c>
      <c r="W42" s="105" t="e">
        <f>VLOOKUP(T42,Species!$A$2:$D$2230,4,FALSE)</f>
        <v>#N/A</v>
      </c>
      <c r="X42" s="10"/>
      <c r="Y42" s="10"/>
      <c r="Z42" s="101"/>
      <c r="AA42" s="99"/>
      <c r="AB42" s="99"/>
      <c r="AC42" s="102"/>
      <c r="AD42" s="102"/>
      <c r="AE42" s="102"/>
      <c r="AF42" s="102"/>
      <c r="AG42" s="99"/>
      <c r="AH42" s="99"/>
      <c r="AI42" s="99"/>
      <c r="AJ42" s="99"/>
      <c r="AK42" s="99"/>
      <c r="AL42" s="10"/>
      <c r="AM42" s="99"/>
      <c r="AN42" s="103"/>
      <c r="AO42" s="16"/>
    </row>
    <row r="43" spans="1:41" x14ac:dyDescent="0.25">
      <c r="A43" s="86"/>
      <c r="B43" s="92"/>
      <c r="C43" s="99"/>
      <c r="D43" s="10"/>
      <c r="E43" s="10"/>
      <c r="F43" s="99"/>
      <c r="G43" s="10"/>
      <c r="H43" s="10"/>
      <c r="I43" s="100"/>
      <c r="J43" s="93"/>
      <c r="K43" s="92"/>
      <c r="L43" s="99"/>
      <c r="M43" s="10"/>
      <c r="N43" s="10"/>
      <c r="O43" s="99"/>
      <c r="P43" s="10"/>
      <c r="Q43" s="10"/>
      <c r="R43" s="100"/>
      <c r="S43" s="93"/>
      <c r="T43" s="100"/>
      <c r="U43" s="105" t="e">
        <f>VLOOKUP(T43,Species!$A$2:$D$2230,2,FALSE)</f>
        <v>#N/A</v>
      </c>
      <c r="V43" s="105" t="e">
        <f>VLOOKUP(T43,Species!$A$2:$D$2230,3,FALSE)</f>
        <v>#N/A</v>
      </c>
      <c r="W43" s="105" t="e">
        <f>VLOOKUP(T43,Species!$A$2:$D$2230,4,FALSE)</f>
        <v>#N/A</v>
      </c>
      <c r="X43" s="10"/>
      <c r="Y43" s="10"/>
      <c r="Z43" s="101"/>
      <c r="AA43" s="99"/>
      <c r="AB43" s="99"/>
      <c r="AC43" s="102"/>
      <c r="AD43" s="102"/>
      <c r="AE43" s="102"/>
      <c r="AF43" s="102"/>
      <c r="AG43" s="99"/>
      <c r="AH43" s="99"/>
      <c r="AI43" s="99"/>
      <c r="AJ43" s="99"/>
      <c r="AK43" s="99"/>
      <c r="AL43" s="10"/>
      <c r="AM43" s="99"/>
      <c r="AN43" s="103"/>
      <c r="AO43" s="16"/>
    </row>
    <row r="44" spans="1:41" x14ac:dyDescent="0.25">
      <c r="A44" s="86"/>
      <c r="B44" s="92"/>
      <c r="C44" s="99"/>
      <c r="D44" s="10"/>
      <c r="E44" s="10"/>
      <c r="F44" s="99"/>
      <c r="G44" s="10"/>
      <c r="H44" s="10"/>
      <c r="I44" s="100"/>
      <c r="J44" s="93"/>
      <c r="K44" s="92"/>
      <c r="L44" s="99"/>
      <c r="M44" s="10"/>
      <c r="N44" s="10"/>
      <c r="O44" s="99"/>
      <c r="P44" s="10"/>
      <c r="Q44" s="10"/>
      <c r="R44" s="100"/>
      <c r="S44" s="93"/>
      <c r="T44" s="100"/>
      <c r="U44" s="105" t="e">
        <f>VLOOKUP(T44,Species!$A$2:$D$2230,2,FALSE)</f>
        <v>#N/A</v>
      </c>
      <c r="V44" s="105" t="e">
        <f>VLOOKUP(T44,Species!$A$2:$D$2230,3,FALSE)</f>
        <v>#N/A</v>
      </c>
      <c r="W44" s="105" t="e">
        <f>VLOOKUP(T44,Species!$A$2:$D$2230,4,FALSE)</f>
        <v>#N/A</v>
      </c>
      <c r="X44" s="10"/>
      <c r="Y44" s="10"/>
      <c r="Z44" s="101"/>
      <c r="AA44" s="99"/>
      <c r="AB44" s="99"/>
      <c r="AC44" s="102"/>
      <c r="AD44" s="102"/>
      <c r="AE44" s="102"/>
      <c r="AF44" s="102"/>
      <c r="AG44" s="99"/>
      <c r="AH44" s="99"/>
      <c r="AI44" s="99"/>
      <c r="AJ44" s="99"/>
      <c r="AK44" s="99"/>
      <c r="AL44" s="10"/>
      <c r="AM44" s="99"/>
      <c r="AN44" s="103"/>
      <c r="AO44" s="16"/>
    </row>
    <row r="45" spans="1:41" x14ac:dyDescent="0.25">
      <c r="A45" s="86"/>
      <c r="B45" s="92"/>
      <c r="C45" s="99"/>
      <c r="D45" s="10"/>
      <c r="E45" s="10"/>
      <c r="F45" s="99"/>
      <c r="G45" s="10"/>
      <c r="H45" s="10"/>
      <c r="I45" s="100"/>
      <c r="J45" s="93"/>
      <c r="K45" s="92"/>
      <c r="L45" s="99"/>
      <c r="M45" s="10"/>
      <c r="N45" s="10"/>
      <c r="O45" s="99"/>
      <c r="P45" s="10"/>
      <c r="Q45" s="10"/>
      <c r="R45" s="100"/>
      <c r="S45" s="93"/>
      <c r="T45" s="100"/>
      <c r="U45" s="105" t="e">
        <f>VLOOKUP(T45,Species!$A$2:$D$2230,2,FALSE)</f>
        <v>#N/A</v>
      </c>
      <c r="V45" s="105" t="e">
        <f>VLOOKUP(T45,Species!$A$2:$D$2230,3,FALSE)</f>
        <v>#N/A</v>
      </c>
      <c r="W45" s="105" t="e">
        <f>VLOOKUP(T45,Species!$A$2:$D$2230,4,FALSE)</f>
        <v>#N/A</v>
      </c>
      <c r="X45" s="10"/>
      <c r="Y45" s="10"/>
      <c r="Z45" s="101"/>
      <c r="AA45" s="99"/>
      <c r="AB45" s="99"/>
      <c r="AC45" s="102"/>
      <c r="AD45" s="102"/>
      <c r="AE45" s="102"/>
      <c r="AF45" s="102"/>
      <c r="AG45" s="99"/>
      <c r="AH45" s="99"/>
      <c r="AI45" s="99"/>
      <c r="AJ45" s="99"/>
      <c r="AK45" s="99"/>
      <c r="AL45" s="10"/>
      <c r="AM45" s="99"/>
      <c r="AN45" s="103"/>
      <c r="AO45" s="16"/>
    </row>
    <row r="46" spans="1:41" x14ac:dyDescent="0.25">
      <c r="A46" s="86"/>
      <c r="B46" s="92"/>
      <c r="C46" s="99"/>
      <c r="D46" s="10"/>
      <c r="E46" s="10"/>
      <c r="F46" s="99"/>
      <c r="G46" s="10"/>
      <c r="H46" s="10"/>
      <c r="I46" s="100"/>
      <c r="J46" s="93"/>
      <c r="K46" s="92"/>
      <c r="L46" s="99"/>
      <c r="M46" s="10"/>
      <c r="N46" s="10"/>
      <c r="O46" s="99"/>
      <c r="P46" s="10"/>
      <c r="Q46" s="10"/>
      <c r="R46" s="100"/>
      <c r="S46" s="93"/>
      <c r="T46" s="100"/>
      <c r="U46" s="105" t="e">
        <f>VLOOKUP(T46,Species!$A$2:$D$2230,2,FALSE)</f>
        <v>#N/A</v>
      </c>
      <c r="V46" s="105" t="e">
        <f>VLOOKUP(T46,Species!$A$2:$D$2230,3,FALSE)</f>
        <v>#N/A</v>
      </c>
      <c r="W46" s="105" t="e">
        <f>VLOOKUP(T46,Species!$A$2:$D$2230,4,FALSE)</f>
        <v>#N/A</v>
      </c>
      <c r="X46" s="10"/>
      <c r="Y46" s="10"/>
      <c r="Z46" s="101"/>
      <c r="AA46" s="99"/>
      <c r="AB46" s="99"/>
      <c r="AC46" s="102"/>
      <c r="AD46" s="102"/>
      <c r="AE46" s="102"/>
      <c r="AF46" s="102"/>
      <c r="AG46" s="99"/>
      <c r="AH46" s="99"/>
      <c r="AI46" s="99"/>
      <c r="AJ46" s="99"/>
      <c r="AK46" s="99"/>
      <c r="AL46" s="10"/>
      <c r="AM46" s="99"/>
      <c r="AN46" s="103"/>
      <c r="AO46" s="16"/>
    </row>
    <row r="47" spans="1:41" x14ac:dyDescent="0.25">
      <c r="A47" s="86"/>
      <c r="B47" s="92"/>
      <c r="C47" s="99"/>
      <c r="D47" s="10"/>
      <c r="E47" s="10"/>
      <c r="F47" s="99"/>
      <c r="G47" s="10"/>
      <c r="H47" s="10"/>
      <c r="I47" s="100"/>
      <c r="J47" s="93"/>
      <c r="K47" s="92"/>
      <c r="L47" s="99"/>
      <c r="M47" s="10"/>
      <c r="N47" s="10"/>
      <c r="O47" s="99"/>
      <c r="P47" s="10"/>
      <c r="Q47" s="10"/>
      <c r="R47" s="100"/>
      <c r="S47" s="93"/>
      <c r="T47" s="100"/>
      <c r="U47" s="105" t="e">
        <f>VLOOKUP(T47,Species!$A$2:$D$2230,2,FALSE)</f>
        <v>#N/A</v>
      </c>
      <c r="V47" s="105" t="e">
        <f>VLOOKUP(T47,Species!$A$2:$D$2230,3,FALSE)</f>
        <v>#N/A</v>
      </c>
      <c r="W47" s="105" t="e">
        <f>VLOOKUP(T47,Species!$A$2:$D$2230,4,FALSE)</f>
        <v>#N/A</v>
      </c>
      <c r="X47" s="10"/>
      <c r="Y47" s="10"/>
      <c r="Z47" s="101"/>
      <c r="AA47" s="99"/>
      <c r="AB47" s="99"/>
      <c r="AC47" s="102"/>
      <c r="AD47" s="102"/>
      <c r="AE47" s="102"/>
      <c r="AF47" s="102"/>
      <c r="AG47" s="99"/>
      <c r="AH47" s="99"/>
      <c r="AI47" s="99"/>
      <c r="AJ47" s="99"/>
      <c r="AK47" s="99"/>
      <c r="AL47" s="10"/>
      <c r="AM47" s="99"/>
      <c r="AN47" s="103"/>
      <c r="AO47" s="16"/>
    </row>
    <row r="48" spans="1:41" x14ac:dyDescent="0.25">
      <c r="A48" s="87"/>
      <c r="B48" s="94"/>
      <c r="C48" s="99"/>
      <c r="D48" s="54"/>
      <c r="E48" s="54"/>
      <c r="F48" s="99"/>
      <c r="G48" s="54"/>
      <c r="H48" s="54"/>
      <c r="I48" s="100"/>
      <c r="J48" s="95"/>
      <c r="K48" s="94"/>
      <c r="L48" s="99"/>
      <c r="M48" s="54"/>
      <c r="N48" s="54"/>
      <c r="O48" s="99"/>
      <c r="P48" s="54"/>
      <c r="Q48" s="54"/>
      <c r="R48" s="100"/>
      <c r="S48" s="95"/>
      <c r="T48" s="100"/>
      <c r="U48" s="105" t="e">
        <f>VLOOKUP(T48,Species!$A$2:$D$2230,2,FALSE)</f>
        <v>#N/A</v>
      </c>
      <c r="V48" s="105" t="e">
        <f>VLOOKUP(T48,Species!$A$2:$D$2230,3,FALSE)</f>
        <v>#N/A</v>
      </c>
      <c r="W48" s="105" t="e">
        <f>VLOOKUP(T48,Species!$A$2:$D$2230,4,FALSE)</f>
        <v>#N/A</v>
      </c>
      <c r="X48" s="54"/>
      <c r="Y48" s="54"/>
      <c r="Z48" s="101"/>
      <c r="AA48" s="99"/>
      <c r="AB48" s="99"/>
      <c r="AC48" s="102"/>
      <c r="AD48" s="102"/>
      <c r="AE48" s="102"/>
      <c r="AF48" s="102"/>
      <c r="AG48" s="102"/>
      <c r="AH48" s="102"/>
      <c r="AI48" s="102"/>
      <c r="AJ48" s="102"/>
      <c r="AK48" s="102"/>
      <c r="AL48" s="54"/>
      <c r="AM48" s="102"/>
      <c r="AN48" s="104"/>
      <c r="AO48" s="16"/>
    </row>
    <row r="49" spans="1:41" x14ac:dyDescent="0.25">
      <c r="A49" s="86"/>
      <c r="B49" s="92"/>
      <c r="C49" s="99"/>
      <c r="D49" s="10"/>
      <c r="E49" s="10"/>
      <c r="F49" s="99"/>
      <c r="G49" s="10"/>
      <c r="H49" s="10"/>
      <c r="I49" s="100"/>
      <c r="J49" s="93"/>
      <c r="K49" s="92"/>
      <c r="L49" s="99"/>
      <c r="M49" s="10"/>
      <c r="N49" s="10"/>
      <c r="O49" s="99"/>
      <c r="P49" s="10"/>
      <c r="Q49" s="10"/>
      <c r="R49" s="100"/>
      <c r="S49" s="93"/>
      <c r="T49" s="100"/>
      <c r="U49" s="105" t="e">
        <f>VLOOKUP(T49,Species!$A$2:$D$2230,2,FALSE)</f>
        <v>#N/A</v>
      </c>
      <c r="V49" s="105" t="e">
        <f>VLOOKUP(T49,Species!$A$2:$D$2230,3,FALSE)</f>
        <v>#N/A</v>
      </c>
      <c r="W49" s="105" t="e">
        <f>VLOOKUP(T49,Species!$A$2:$D$2230,4,FALSE)</f>
        <v>#N/A</v>
      </c>
      <c r="X49" s="10"/>
      <c r="Y49" s="10"/>
      <c r="Z49" s="101"/>
      <c r="AA49" s="99"/>
      <c r="AB49" s="99"/>
      <c r="AC49" s="102"/>
      <c r="AD49" s="102"/>
      <c r="AE49" s="102"/>
      <c r="AF49" s="102"/>
      <c r="AG49" s="99"/>
      <c r="AH49" s="99"/>
      <c r="AI49" s="99"/>
      <c r="AJ49" s="99"/>
      <c r="AK49" s="99"/>
      <c r="AL49" s="10"/>
      <c r="AM49" s="99"/>
      <c r="AN49" s="103"/>
      <c r="AO49" s="16"/>
    </row>
    <row r="50" spans="1:41" x14ac:dyDescent="0.25">
      <c r="A50" s="86"/>
      <c r="B50" s="92"/>
      <c r="C50" s="99"/>
      <c r="D50" s="10"/>
      <c r="E50" s="10"/>
      <c r="F50" s="99"/>
      <c r="G50" s="10"/>
      <c r="H50" s="10"/>
      <c r="I50" s="100"/>
      <c r="J50" s="93"/>
      <c r="K50" s="92"/>
      <c r="L50" s="99"/>
      <c r="M50" s="10"/>
      <c r="N50" s="10"/>
      <c r="O50" s="99"/>
      <c r="P50" s="10"/>
      <c r="Q50" s="10"/>
      <c r="R50" s="100"/>
      <c r="S50" s="93"/>
      <c r="T50" s="100"/>
      <c r="U50" s="105" t="e">
        <f>VLOOKUP(T50,Species!$A$2:$D$2230,2,FALSE)</f>
        <v>#N/A</v>
      </c>
      <c r="V50" s="105" t="e">
        <f>VLOOKUP(T50,Species!$A$2:$D$2230,3,FALSE)</f>
        <v>#N/A</v>
      </c>
      <c r="W50" s="105" t="e">
        <f>VLOOKUP(T50,Species!$A$2:$D$2230,4,FALSE)</f>
        <v>#N/A</v>
      </c>
      <c r="X50" s="10"/>
      <c r="Y50" s="10"/>
      <c r="Z50" s="101"/>
      <c r="AA50" s="99"/>
      <c r="AB50" s="99"/>
      <c r="AC50" s="102"/>
      <c r="AD50" s="102"/>
      <c r="AE50" s="102"/>
      <c r="AF50" s="102"/>
      <c r="AG50" s="99"/>
      <c r="AH50" s="99"/>
      <c r="AI50" s="99"/>
      <c r="AJ50" s="99"/>
      <c r="AK50" s="99"/>
      <c r="AL50" s="10"/>
      <c r="AM50" s="99"/>
      <c r="AN50" s="103"/>
      <c r="AO50" s="16"/>
    </row>
    <row r="51" spans="1:41" x14ac:dyDescent="0.25">
      <c r="A51" s="86"/>
      <c r="B51" s="92"/>
      <c r="C51" s="99"/>
      <c r="D51" s="10"/>
      <c r="E51" s="10"/>
      <c r="F51" s="99"/>
      <c r="G51" s="10"/>
      <c r="H51" s="10"/>
      <c r="I51" s="100"/>
      <c r="J51" s="93"/>
      <c r="K51" s="92"/>
      <c r="L51" s="99"/>
      <c r="M51" s="10"/>
      <c r="N51" s="10"/>
      <c r="O51" s="99"/>
      <c r="P51" s="10"/>
      <c r="Q51" s="10"/>
      <c r="R51" s="100"/>
      <c r="S51" s="93"/>
      <c r="T51" s="100"/>
      <c r="U51" s="105" t="e">
        <f>VLOOKUP(T51,Species!$A$2:$D$2230,2,FALSE)</f>
        <v>#N/A</v>
      </c>
      <c r="V51" s="105" t="e">
        <f>VLOOKUP(T51,Species!$A$2:$D$2230,3,FALSE)</f>
        <v>#N/A</v>
      </c>
      <c r="W51" s="105" t="e">
        <f>VLOOKUP(T51,Species!$A$2:$D$2230,4,FALSE)</f>
        <v>#N/A</v>
      </c>
      <c r="X51" s="10"/>
      <c r="Y51" s="10"/>
      <c r="Z51" s="101"/>
      <c r="AA51" s="99"/>
      <c r="AB51" s="99"/>
      <c r="AC51" s="102"/>
      <c r="AD51" s="102"/>
      <c r="AE51" s="102"/>
      <c r="AF51" s="102"/>
      <c r="AG51" s="99"/>
      <c r="AH51" s="99"/>
      <c r="AI51" s="99"/>
      <c r="AJ51" s="99"/>
      <c r="AK51" s="99"/>
      <c r="AL51" s="10"/>
      <c r="AM51" s="99"/>
      <c r="AN51" s="103"/>
      <c r="AO51" s="16"/>
    </row>
    <row r="52" spans="1:41" x14ac:dyDescent="0.25">
      <c r="A52" s="86"/>
      <c r="B52" s="92"/>
      <c r="C52" s="99"/>
      <c r="D52" s="10"/>
      <c r="E52" s="10"/>
      <c r="F52" s="99"/>
      <c r="G52" s="10"/>
      <c r="H52" s="10"/>
      <c r="I52" s="100"/>
      <c r="J52" s="93"/>
      <c r="K52" s="92"/>
      <c r="L52" s="99"/>
      <c r="M52" s="10"/>
      <c r="N52" s="10"/>
      <c r="O52" s="99"/>
      <c r="P52" s="10"/>
      <c r="Q52" s="10"/>
      <c r="R52" s="100"/>
      <c r="S52" s="93"/>
      <c r="T52" s="100"/>
      <c r="U52" s="105" t="e">
        <f>VLOOKUP(T52,Species!$A$2:$D$2230,2,FALSE)</f>
        <v>#N/A</v>
      </c>
      <c r="V52" s="105" t="e">
        <f>VLOOKUP(T52,Species!$A$2:$D$2230,3,FALSE)</f>
        <v>#N/A</v>
      </c>
      <c r="W52" s="105" t="e">
        <f>VLOOKUP(T52,Species!$A$2:$D$2230,4,FALSE)</f>
        <v>#N/A</v>
      </c>
      <c r="X52" s="10"/>
      <c r="Y52" s="10"/>
      <c r="Z52" s="101"/>
      <c r="AA52" s="99"/>
      <c r="AB52" s="99"/>
      <c r="AC52" s="102"/>
      <c r="AD52" s="102"/>
      <c r="AE52" s="102"/>
      <c r="AF52" s="102"/>
      <c r="AG52" s="99"/>
      <c r="AH52" s="99"/>
      <c r="AI52" s="99"/>
      <c r="AJ52" s="99"/>
      <c r="AK52" s="99"/>
      <c r="AL52" s="10"/>
      <c r="AM52" s="99"/>
      <c r="AN52" s="103"/>
      <c r="AO52" s="16"/>
    </row>
    <row r="53" spans="1:41" x14ac:dyDescent="0.25">
      <c r="A53" s="86"/>
      <c r="B53" s="92"/>
      <c r="C53" s="99"/>
      <c r="D53" s="10"/>
      <c r="E53" s="10"/>
      <c r="F53" s="99"/>
      <c r="G53" s="10"/>
      <c r="H53" s="10"/>
      <c r="I53" s="100"/>
      <c r="J53" s="93"/>
      <c r="K53" s="92"/>
      <c r="L53" s="99"/>
      <c r="M53" s="10"/>
      <c r="N53" s="10"/>
      <c r="O53" s="99"/>
      <c r="P53" s="10"/>
      <c r="Q53" s="10"/>
      <c r="R53" s="100"/>
      <c r="S53" s="93"/>
      <c r="T53" s="100"/>
      <c r="U53" s="105" t="e">
        <f>VLOOKUP(T53,Species!$A$2:$D$2230,2,FALSE)</f>
        <v>#N/A</v>
      </c>
      <c r="V53" s="105" t="e">
        <f>VLOOKUP(T53,Species!$A$2:$D$2230,3,FALSE)</f>
        <v>#N/A</v>
      </c>
      <c r="W53" s="105" t="e">
        <f>VLOOKUP(T53,Species!$A$2:$D$2230,4,FALSE)</f>
        <v>#N/A</v>
      </c>
      <c r="X53" s="10"/>
      <c r="Y53" s="10"/>
      <c r="Z53" s="101"/>
      <c r="AA53" s="99"/>
      <c r="AB53" s="99"/>
      <c r="AC53" s="102"/>
      <c r="AD53" s="102"/>
      <c r="AE53" s="102"/>
      <c r="AF53" s="102"/>
      <c r="AG53" s="99"/>
      <c r="AH53" s="99"/>
      <c r="AI53" s="99"/>
      <c r="AJ53" s="99"/>
      <c r="AK53" s="99"/>
      <c r="AL53" s="10"/>
      <c r="AM53" s="99"/>
      <c r="AN53" s="103"/>
      <c r="AO53" s="16"/>
    </row>
    <row r="54" spans="1:41" x14ac:dyDescent="0.25">
      <c r="A54" s="86"/>
      <c r="B54" s="92"/>
      <c r="C54" s="99"/>
      <c r="D54" s="10"/>
      <c r="E54" s="10"/>
      <c r="F54" s="99"/>
      <c r="G54" s="10"/>
      <c r="H54" s="10"/>
      <c r="I54" s="100"/>
      <c r="J54" s="93"/>
      <c r="K54" s="92"/>
      <c r="L54" s="99"/>
      <c r="M54" s="10"/>
      <c r="N54" s="10"/>
      <c r="O54" s="99"/>
      <c r="P54" s="10"/>
      <c r="Q54" s="10"/>
      <c r="R54" s="100"/>
      <c r="S54" s="93"/>
      <c r="T54" s="100"/>
      <c r="U54" s="105" t="e">
        <f>VLOOKUP(T54,Species!$A$2:$D$2230,2,FALSE)</f>
        <v>#N/A</v>
      </c>
      <c r="V54" s="105" t="e">
        <f>VLOOKUP(T54,Species!$A$2:$D$2230,3,FALSE)</f>
        <v>#N/A</v>
      </c>
      <c r="W54" s="105" t="e">
        <f>VLOOKUP(T54,Species!$A$2:$D$2230,4,FALSE)</f>
        <v>#N/A</v>
      </c>
      <c r="X54" s="10"/>
      <c r="Y54" s="10"/>
      <c r="Z54" s="101"/>
      <c r="AA54" s="99"/>
      <c r="AB54" s="99"/>
      <c r="AC54" s="102"/>
      <c r="AD54" s="102"/>
      <c r="AE54" s="102"/>
      <c r="AF54" s="102"/>
      <c r="AG54" s="99"/>
      <c r="AH54" s="99"/>
      <c r="AI54" s="99"/>
      <c r="AJ54" s="99"/>
      <c r="AK54" s="99"/>
      <c r="AL54" s="10"/>
      <c r="AM54" s="99"/>
      <c r="AN54" s="103"/>
      <c r="AO54" s="16"/>
    </row>
    <row r="55" spans="1:41" x14ac:dyDescent="0.25">
      <c r="A55" s="86"/>
      <c r="B55" s="92"/>
      <c r="C55" s="99"/>
      <c r="D55" s="10"/>
      <c r="E55" s="10"/>
      <c r="F55" s="99"/>
      <c r="G55" s="10"/>
      <c r="H55" s="10"/>
      <c r="I55" s="100"/>
      <c r="J55" s="93"/>
      <c r="K55" s="92"/>
      <c r="L55" s="99"/>
      <c r="M55" s="10"/>
      <c r="N55" s="10"/>
      <c r="O55" s="99"/>
      <c r="P55" s="10"/>
      <c r="Q55" s="10"/>
      <c r="R55" s="100"/>
      <c r="S55" s="93"/>
      <c r="T55" s="100"/>
      <c r="U55" s="105" t="e">
        <f>VLOOKUP(T55,Species!$A$2:$D$2230,2,FALSE)</f>
        <v>#N/A</v>
      </c>
      <c r="V55" s="105" t="e">
        <f>VLOOKUP(T55,Species!$A$2:$D$2230,3,FALSE)</f>
        <v>#N/A</v>
      </c>
      <c r="W55" s="105" t="e">
        <f>VLOOKUP(T55,Species!$A$2:$D$2230,4,FALSE)</f>
        <v>#N/A</v>
      </c>
      <c r="X55" s="10"/>
      <c r="Y55" s="10"/>
      <c r="Z55" s="101"/>
      <c r="AA55" s="99"/>
      <c r="AB55" s="99"/>
      <c r="AC55" s="102"/>
      <c r="AD55" s="102"/>
      <c r="AE55" s="102"/>
      <c r="AF55" s="102"/>
      <c r="AG55" s="99"/>
      <c r="AH55" s="99"/>
      <c r="AI55" s="99"/>
      <c r="AJ55" s="99"/>
      <c r="AK55" s="99"/>
      <c r="AL55" s="10"/>
      <c r="AM55" s="99"/>
      <c r="AN55" s="103"/>
      <c r="AO55" s="16"/>
    </row>
    <row r="56" spans="1:41" x14ac:dyDescent="0.25">
      <c r="A56" s="86"/>
      <c r="B56" s="92"/>
      <c r="C56" s="99"/>
      <c r="D56" s="10"/>
      <c r="E56" s="10"/>
      <c r="F56" s="99"/>
      <c r="G56" s="10"/>
      <c r="H56" s="10"/>
      <c r="I56" s="100"/>
      <c r="J56" s="93"/>
      <c r="K56" s="92"/>
      <c r="L56" s="99"/>
      <c r="M56" s="10"/>
      <c r="N56" s="10"/>
      <c r="O56" s="99"/>
      <c r="P56" s="10"/>
      <c r="Q56" s="10"/>
      <c r="R56" s="100"/>
      <c r="S56" s="93"/>
      <c r="T56" s="100"/>
      <c r="U56" s="105" t="e">
        <f>VLOOKUP(T56,Species!$A$2:$D$2230,2,FALSE)</f>
        <v>#N/A</v>
      </c>
      <c r="V56" s="105" t="e">
        <f>VLOOKUP(T56,Species!$A$2:$D$2230,3,FALSE)</f>
        <v>#N/A</v>
      </c>
      <c r="W56" s="105" t="e">
        <f>VLOOKUP(T56,Species!$A$2:$D$2230,4,FALSE)</f>
        <v>#N/A</v>
      </c>
      <c r="X56" s="10"/>
      <c r="Y56" s="10"/>
      <c r="Z56" s="101"/>
      <c r="AA56" s="99"/>
      <c r="AB56" s="99"/>
      <c r="AC56" s="102"/>
      <c r="AD56" s="102"/>
      <c r="AE56" s="102"/>
      <c r="AF56" s="102"/>
      <c r="AG56" s="99"/>
      <c r="AH56" s="99"/>
      <c r="AI56" s="99"/>
      <c r="AJ56" s="99"/>
      <c r="AK56" s="99"/>
      <c r="AL56" s="10"/>
      <c r="AM56" s="99"/>
      <c r="AN56" s="103"/>
      <c r="AO56" s="16"/>
    </row>
    <row r="57" spans="1:41" x14ac:dyDescent="0.25">
      <c r="A57" s="87"/>
      <c r="B57" s="94"/>
      <c r="C57" s="99"/>
      <c r="D57" s="54"/>
      <c r="E57" s="54"/>
      <c r="F57" s="99"/>
      <c r="G57" s="54"/>
      <c r="H57" s="54"/>
      <c r="I57" s="100"/>
      <c r="J57" s="95"/>
      <c r="K57" s="94"/>
      <c r="L57" s="99"/>
      <c r="M57" s="54"/>
      <c r="N57" s="54"/>
      <c r="O57" s="99"/>
      <c r="P57" s="54"/>
      <c r="Q57" s="54"/>
      <c r="R57" s="100"/>
      <c r="S57" s="95"/>
      <c r="T57" s="100"/>
      <c r="U57" s="105" t="e">
        <f>VLOOKUP(T57,Species!$A$2:$D$2230,2,FALSE)</f>
        <v>#N/A</v>
      </c>
      <c r="V57" s="105" t="e">
        <f>VLOOKUP(T57,Species!$A$2:$D$2230,3,FALSE)</f>
        <v>#N/A</v>
      </c>
      <c r="W57" s="105" t="e">
        <f>VLOOKUP(T57,Species!$A$2:$D$2230,4,FALSE)</f>
        <v>#N/A</v>
      </c>
      <c r="X57" s="54"/>
      <c r="Y57" s="54"/>
      <c r="Z57" s="101"/>
      <c r="AA57" s="99"/>
      <c r="AB57" s="99"/>
      <c r="AC57" s="102"/>
      <c r="AD57" s="102"/>
      <c r="AE57" s="102"/>
      <c r="AF57" s="102"/>
      <c r="AG57" s="102"/>
      <c r="AH57" s="102"/>
      <c r="AI57" s="102"/>
      <c r="AJ57" s="102"/>
      <c r="AK57" s="102"/>
      <c r="AL57" s="54"/>
      <c r="AM57" s="102"/>
      <c r="AN57" s="104"/>
      <c r="AO57" s="16"/>
    </row>
    <row r="58" spans="1:41" x14ac:dyDescent="0.25">
      <c r="A58" s="86"/>
      <c r="B58" s="92"/>
      <c r="C58" s="99"/>
      <c r="D58" s="10"/>
      <c r="E58" s="10"/>
      <c r="F58" s="99"/>
      <c r="G58" s="10"/>
      <c r="H58" s="10"/>
      <c r="I58" s="100"/>
      <c r="J58" s="93"/>
      <c r="K58" s="92"/>
      <c r="L58" s="99"/>
      <c r="M58" s="10"/>
      <c r="N58" s="10"/>
      <c r="O58" s="99"/>
      <c r="P58" s="10"/>
      <c r="Q58" s="10"/>
      <c r="R58" s="100"/>
      <c r="S58" s="93"/>
      <c r="T58" s="100"/>
      <c r="U58" s="105" t="e">
        <f>VLOOKUP(T58,Species!$A$2:$D$2230,2,FALSE)</f>
        <v>#N/A</v>
      </c>
      <c r="V58" s="105" t="e">
        <f>VLOOKUP(T58,Species!$A$2:$D$2230,3,FALSE)</f>
        <v>#N/A</v>
      </c>
      <c r="W58" s="105" t="e">
        <f>VLOOKUP(T58,Species!$A$2:$D$2230,4,FALSE)</f>
        <v>#N/A</v>
      </c>
      <c r="X58" s="10"/>
      <c r="Y58" s="10"/>
      <c r="Z58" s="101"/>
      <c r="AA58" s="99"/>
      <c r="AB58" s="99"/>
      <c r="AC58" s="102"/>
      <c r="AD58" s="102"/>
      <c r="AE58" s="102"/>
      <c r="AF58" s="102"/>
      <c r="AG58" s="99"/>
      <c r="AH58" s="99"/>
      <c r="AI58" s="99"/>
      <c r="AJ58" s="99"/>
      <c r="AK58" s="99"/>
      <c r="AL58" s="10"/>
      <c r="AM58" s="99"/>
      <c r="AN58" s="103"/>
      <c r="AO58" s="16"/>
    </row>
    <row r="59" spans="1:41" x14ac:dyDescent="0.25">
      <c r="A59" s="86"/>
      <c r="B59" s="92"/>
      <c r="C59" s="99"/>
      <c r="D59" s="10"/>
      <c r="E59" s="10"/>
      <c r="F59" s="99"/>
      <c r="G59" s="10"/>
      <c r="H59" s="10"/>
      <c r="I59" s="100"/>
      <c r="J59" s="93"/>
      <c r="K59" s="92"/>
      <c r="L59" s="99"/>
      <c r="M59" s="10"/>
      <c r="N59" s="10"/>
      <c r="O59" s="99"/>
      <c r="P59" s="10"/>
      <c r="Q59" s="10"/>
      <c r="R59" s="100"/>
      <c r="S59" s="93"/>
      <c r="T59" s="100"/>
      <c r="U59" s="105" t="e">
        <f>VLOOKUP(T59,Species!$A$2:$D$2230,2,FALSE)</f>
        <v>#N/A</v>
      </c>
      <c r="V59" s="105" t="e">
        <f>VLOOKUP(T59,Species!$A$2:$D$2230,3,FALSE)</f>
        <v>#N/A</v>
      </c>
      <c r="W59" s="105" t="e">
        <f>VLOOKUP(T59,Species!$A$2:$D$2230,4,FALSE)</f>
        <v>#N/A</v>
      </c>
      <c r="X59" s="10"/>
      <c r="Y59" s="10"/>
      <c r="Z59" s="101"/>
      <c r="AA59" s="99"/>
      <c r="AB59" s="99"/>
      <c r="AC59" s="102"/>
      <c r="AD59" s="102"/>
      <c r="AE59" s="102"/>
      <c r="AF59" s="102"/>
      <c r="AG59" s="99"/>
      <c r="AH59" s="99"/>
      <c r="AI59" s="99"/>
      <c r="AJ59" s="99"/>
      <c r="AK59" s="99"/>
      <c r="AL59" s="10"/>
      <c r="AM59" s="99"/>
      <c r="AN59" s="103"/>
      <c r="AO59" s="16"/>
    </row>
    <row r="60" spans="1:41" x14ac:dyDescent="0.25">
      <c r="A60" s="86"/>
      <c r="B60" s="92"/>
      <c r="C60" s="99"/>
      <c r="D60" s="10"/>
      <c r="E60" s="10"/>
      <c r="F60" s="99"/>
      <c r="G60" s="10"/>
      <c r="H60" s="10"/>
      <c r="I60" s="100"/>
      <c r="J60" s="93"/>
      <c r="K60" s="92"/>
      <c r="L60" s="99"/>
      <c r="M60" s="10"/>
      <c r="N60" s="10"/>
      <c r="O60" s="99"/>
      <c r="P60" s="10"/>
      <c r="Q60" s="10"/>
      <c r="R60" s="100"/>
      <c r="S60" s="93"/>
      <c r="T60" s="100"/>
      <c r="U60" s="105" t="e">
        <f>VLOOKUP(T60,Species!$A$2:$D$2230,2,FALSE)</f>
        <v>#N/A</v>
      </c>
      <c r="V60" s="105" t="e">
        <f>VLOOKUP(T60,Species!$A$2:$D$2230,3,FALSE)</f>
        <v>#N/A</v>
      </c>
      <c r="W60" s="105" t="e">
        <f>VLOOKUP(T60,Species!$A$2:$D$2230,4,FALSE)</f>
        <v>#N/A</v>
      </c>
      <c r="X60" s="10"/>
      <c r="Y60" s="10"/>
      <c r="Z60" s="101"/>
      <c r="AA60" s="99"/>
      <c r="AB60" s="99"/>
      <c r="AC60" s="102"/>
      <c r="AD60" s="102"/>
      <c r="AE60" s="102"/>
      <c r="AF60" s="102"/>
      <c r="AG60" s="99"/>
      <c r="AH60" s="99"/>
      <c r="AI60" s="99"/>
      <c r="AJ60" s="99"/>
      <c r="AK60" s="99"/>
      <c r="AL60" s="10"/>
      <c r="AM60" s="99"/>
      <c r="AN60" s="103"/>
      <c r="AO60" s="16"/>
    </row>
    <row r="61" spans="1:41" x14ac:dyDescent="0.25">
      <c r="A61" s="86"/>
      <c r="B61" s="92"/>
      <c r="C61" s="99"/>
      <c r="D61" s="10"/>
      <c r="E61" s="10"/>
      <c r="F61" s="99"/>
      <c r="G61" s="10"/>
      <c r="H61" s="10"/>
      <c r="I61" s="100"/>
      <c r="J61" s="93"/>
      <c r="K61" s="92"/>
      <c r="L61" s="99"/>
      <c r="M61" s="10"/>
      <c r="N61" s="10"/>
      <c r="O61" s="99"/>
      <c r="P61" s="10"/>
      <c r="Q61" s="10"/>
      <c r="R61" s="100"/>
      <c r="S61" s="93"/>
      <c r="T61" s="100"/>
      <c r="U61" s="105" t="e">
        <f>VLOOKUP(T61,Species!$A$2:$D$2230,2,FALSE)</f>
        <v>#N/A</v>
      </c>
      <c r="V61" s="105" t="e">
        <f>VLOOKUP(T61,Species!$A$2:$D$2230,3,FALSE)</f>
        <v>#N/A</v>
      </c>
      <c r="W61" s="105" t="e">
        <f>VLOOKUP(T61,Species!$A$2:$D$2230,4,FALSE)</f>
        <v>#N/A</v>
      </c>
      <c r="X61" s="10"/>
      <c r="Y61" s="10"/>
      <c r="Z61" s="101"/>
      <c r="AA61" s="99"/>
      <c r="AB61" s="99"/>
      <c r="AC61" s="102"/>
      <c r="AD61" s="102"/>
      <c r="AE61" s="102"/>
      <c r="AF61" s="102"/>
      <c r="AG61" s="99"/>
      <c r="AH61" s="99"/>
      <c r="AI61" s="99"/>
      <c r="AJ61" s="99"/>
      <c r="AK61" s="99"/>
      <c r="AL61" s="10"/>
      <c r="AM61" s="99"/>
      <c r="AN61" s="103"/>
      <c r="AO61" s="16"/>
    </row>
    <row r="62" spans="1:41" x14ac:dyDescent="0.25">
      <c r="A62" s="86"/>
      <c r="B62" s="92"/>
      <c r="C62" s="99"/>
      <c r="D62" s="10"/>
      <c r="E62" s="10"/>
      <c r="F62" s="99"/>
      <c r="G62" s="10"/>
      <c r="H62" s="10"/>
      <c r="I62" s="100"/>
      <c r="J62" s="93"/>
      <c r="K62" s="92"/>
      <c r="L62" s="99"/>
      <c r="M62" s="10"/>
      <c r="N62" s="10"/>
      <c r="O62" s="99"/>
      <c r="P62" s="10"/>
      <c r="Q62" s="10"/>
      <c r="R62" s="100"/>
      <c r="S62" s="93"/>
      <c r="T62" s="100"/>
      <c r="U62" s="105" t="e">
        <f>VLOOKUP(T62,Species!$A$2:$D$2230,2,FALSE)</f>
        <v>#N/A</v>
      </c>
      <c r="V62" s="105" t="e">
        <f>VLOOKUP(T62,Species!$A$2:$D$2230,3,FALSE)</f>
        <v>#N/A</v>
      </c>
      <c r="W62" s="105" t="e">
        <f>VLOOKUP(T62,Species!$A$2:$D$2230,4,FALSE)</f>
        <v>#N/A</v>
      </c>
      <c r="X62" s="10"/>
      <c r="Y62" s="10"/>
      <c r="Z62" s="101"/>
      <c r="AA62" s="99"/>
      <c r="AB62" s="99"/>
      <c r="AC62" s="102"/>
      <c r="AD62" s="102"/>
      <c r="AE62" s="102"/>
      <c r="AF62" s="102"/>
      <c r="AG62" s="99"/>
      <c r="AH62" s="99"/>
      <c r="AI62" s="99"/>
      <c r="AJ62" s="99"/>
      <c r="AK62" s="99"/>
      <c r="AL62" s="10"/>
      <c r="AM62" s="99"/>
      <c r="AN62" s="103"/>
      <c r="AO62" s="16"/>
    </row>
    <row r="63" spans="1:41" x14ac:dyDescent="0.25">
      <c r="A63" s="86"/>
      <c r="B63" s="92"/>
      <c r="C63" s="99"/>
      <c r="D63" s="10"/>
      <c r="E63" s="10"/>
      <c r="F63" s="99"/>
      <c r="G63" s="10"/>
      <c r="H63" s="10"/>
      <c r="I63" s="100"/>
      <c r="J63" s="93"/>
      <c r="K63" s="92"/>
      <c r="L63" s="99"/>
      <c r="M63" s="10"/>
      <c r="N63" s="10"/>
      <c r="O63" s="99"/>
      <c r="P63" s="10"/>
      <c r="Q63" s="10"/>
      <c r="R63" s="100"/>
      <c r="S63" s="93"/>
      <c r="T63" s="100"/>
      <c r="U63" s="105" t="e">
        <f>VLOOKUP(T63,Species!$A$2:$D$2230,2,FALSE)</f>
        <v>#N/A</v>
      </c>
      <c r="V63" s="105" t="e">
        <f>VLOOKUP(T63,Species!$A$2:$D$2230,3,FALSE)</f>
        <v>#N/A</v>
      </c>
      <c r="W63" s="105" t="e">
        <f>VLOOKUP(T63,Species!$A$2:$D$2230,4,FALSE)</f>
        <v>#N/A</v>
      </c>
      <c r="X63" s="10"/>
      <c r="Y63" s="10"/>
      <c r="Z63" s="101"/>
      <c r="AA63" s="99"/>
      <c r="AB63" s="99"/>
      <c r="AC63" s="102"/>
      <c r="AD63" s="102"/>
      <c r="AE63" s="102"/>
      <c r="AF63" s="102"/>
      <c r="AG63" s="99"/>
      <c r="AH63" s="99"/>
      <c r="AI63" s="99"/>
      <c r="AJ63" s="99"/>
      <c r="AK63" s="99"/>
      <c r="AL63" s="10"/>
      <c r="AM63" s="99"/>
      <c r="AN63" s="103"/>
      <c r="AO63" s="16"/>
    </row>
    <row r="64" spans="1:41" x14ac:dyDescent="0.25">
      <c r="A64" s="86"/>
      <c r="B64" s="92"/>
      <c r="C64" s="99"/>
      <c r="D64" s="10"/>
      <c r="E64" s="10"/>
      <c r="F64" s="99"/>
      <c r="G64" s="10"/>
      <c r="H64" s="10"/>
      <c r="I64" s="100"/>
      <c r="J64" s="93"/>
      <c r="K64" s="92"/>
      <c r="L64" s="99"/>
      <c r="M64" s="10"/>
      <c r="N64" s="10"/>
      <c r="O64" s="99"/>
      <c r="P64" s="10"/>
      <c r="Q64" s="10"/>
      <c r="R64" s="100"/>
      <c r="S64" s="93"/>
      <c r="T64" s="100"/>
      <c r="U64" s="105" t="e">
        <f>VLOOKUP(T64,Species!$A$2:$D$2230,2,FALSE)</f>
        <v>#N/A</v>
      </c>
      <c r="V64" s="105" t="e">
        <f>VLOOKUP(T64,Species!$A$2:$D$2230,3,FALSE)</f>
        <v>#N/A</v>
      </c>
      <c r="W64" s="105" t="e">
        <f>VLOOKUP(T64,Species!$A$2:$D$2230,4,FALSE)</f>
        <v>#N/A</v>
      </c>
      <c r="X64" s="10"/>
      <c r="Y64" s="10"/>
      <c r="Z64" s="101"/>
      <c r="AA64" s="99"/>
      <c r="AB64" s="99"/>
      <c r="AC64" s="102"/>
      <c r="AD64" s="102"/>
      <c r="AE64" s="102"/>
      <c r="AF64" s="102"/>
      <c r="AG64" s="99"/>
      <c r="AH64" s="99"/>
      <c r="AI64" s="99"/>
      <c r="AJ64" s="99"/>
      <c r="AK64" s="99"/>
      <c r="AL64" s="10"/>
      <c r="AM64" s="99"/>
      <c r="AN64" s="103"/>
      <c r="AO64" s="16"/>
    </row>
    <row r="65" spans="1:41" x14ac:dyDescent="0.25">
      <c r="A65" s="86"/>
      <c r="B65" s="92"/>
      <c r="C65" s="99"/>
      <c r="D65" s="10"/>
      <c r="E65" s="10"/>
      <c r="F65" s="99"/>
      <c r="G65" s="10"/>
      <c r="H65" s="10"/>
      <c r="I65" s="100"/>
      <c r="J65" s="93"/>
      <c r="K65" s="92"/>
      <c r="L65" s="99"/>
      <c r="M65" s="10"/>
      <c r="N65" s="10"/>
      <c r="O65" s="99"/>
      <c r="P65" s="10"/>
      <c r="Q65" s="10"/>
      <c r="R65" s="100"/>
      <c r="S65" s="93"/>
      <c r="T65" s="100"/>
      <c r="U65" s="105" t="e">
        <f>VLOOKUP(T65,Species!$A$2:$D$2230,2,FALSE)</f>
        <v>#N/A</v>
      </c>
      <c r="V65" s="105" t="e">
        <f>VLOOKUP(T65,Species!$A$2:$D$2230,3,FALSE)</f>
        <v>#N/A</v>
      </c>
      <c r="W65" s="105" t="e">
        <f>VLOOKUP(T65,Species!$A$2:$D$2230,4,FALSE)</f>
        <v>#N/A</v>
      </c>
      <c r="X65" s="10"/>
      <c r="Y65" s="10"/>
      <c r="Z65" s="101"/>
      <c r="AA65" s="99"/>
      <c r="AB65" s="99"/>
      <c r="AC65" s="102"/>
      <c r="AD65" s="102"/>
      <c r="AE65" s="102"/>
      <c r="AF65" s="102"/>
      <c r="AG65" s="99"/>
      <c r="AH65" s="99"/>
      <c r="AI65" s="99"/>
      <c r="AJ65" s="99"/>
      <c r="AK65" s="99"/>
      <c r="AL65" s="10"/>
      <c r="AM65" s="99"/>
      <c r="AN65" s="103"/>
      <c r="AO65" s="16"/>
    </row>
    <row r="66" spans="1:41" x14ac:dyDescent="0.25">
      <c r="A66" s="87"/>
      <c r="B66" s="94"/>
      <c r="C66" s="99"/>
      <c r="D66" s="54"/>
      <c r="E66" s="54"/>
      <c r="F66" s="99"/>
      <c r="G66" s="54"/>
      <c r="H66" s="54"/>
      <c r="I66" s="100"/>
      <c r="J66" s="95"/>
      <c r="K66" s="94"/>
      <c r="L66" s="99"/>
      <c r="M66" s="54"/>
      <c r="N66" s="54"/>
      <c r="O66" s="99"/>
      <c r="P66" s="54"/>
      <c r="Q66" s="54"/>
      <c r="R66" s="100"/>
      <c r="S66" s="95"/>
      <c r="T66" s="100"/>
      <c r="U66" s="105" t="e">
        <f>VLOOKUP(T66,Species!$A$2:$D$2230,2,FALSE)</f>
        <v>#N/A</v>
      </c>
      <c r="V66" s="105" t="e">
        <f>VLOOKUP(T66,Species!$A$2:$D$2230,3,FALSE)</f>
        <v>#N/A</v>
      </c>
      <c r="W66" s="105" t="e">
        <f>VLOOKUP(T66,Species!$A$2:$D$2230,4,FALSE)</f>
        <v>#N/A</v>
      </c>
      <c r="X66" s="54"/>
      <c r="Y66" s="54"/>
      <c r="Z66" s="101"/>
      <c r="AA66" s="99"/>
      <c r="AB66" s="99"/>
      <c r="AC66" s="102"/>
      <c r="AD66" s="102"/>
      <c r="AE66" s="102"/>
      <c r="AF66" s="102"/>
      <c r="AG66" s="102"/>
      <c r="AH66" s="102"/>
      <c r="AI66" s="102"/>
      <c r="AJ66" s="102"/>
      <c r="AK66" s="102"/>
      <c r="AL66" s="54"/>
      <c r="AM66" s="102"/>
      <c r="AN66" s="104"/>
      <c r="AO66" s="16"/>
    </row>
    <row r="67" spans="1:41" x14ac:dyDescent="0.25">
      <c r="A67" s="86"/>
      <c r="B67" s="92"/>
      <c r="C67" s="99"/>
      <c r="D67" s="10"/>
      <c r="E67" s="10"/>
      <c r="F67" s="99"/>
      <c r="G67" s="10"/>
      <c r="H67" s="10"/>
      <c r="I67" s="100"/>
      <c r="J67" s="93"/>
      <c r="K67" s="92"/>
      <c r="L67" s="99"/>
      <c r="M67" s="10"/>
      <c r="N67" s="10"/>
      <c r="O67" s="99"/>
      <c r="P67" s="10"/>
      <c r="Q67" s="10"/>
      <c r="R67" s="100"/>
      <c r="S67" s="93"/>
      <c r="T67" s="100"/>
      <c r="U67" s="105" t="e">
        <f>VLOOKUP(T67,Species!$A$2:$D$2230,2,FALSE)</f>
        <v>#N/A</v>
      </c>
      <c r="V67" s="105" t="e">
        <f>VLOOKUP(T67,Species!$A$2:$D$2230,3,FALSE)</f>
        <v>#N/A</v>
      </c>
      <c r="W67" s="105" t="e">
        <f>VLOOKUP(T67,Species!$A$2:$D$2230,4,FALSE)</f>
        <v>#N/A</v>
      </c>
      <c r="X67" s="10"/>
      <c r="Y67" s="10"/>
      <c r="Z67" s="101"/>
      <c r="AA67" s="99"/>
      <c r="AB67" s="99"/>
      <c r="AC67" s="102"/>
      <c r="AD67" s="102"/>
      <c r="AE67" s="102"/>
      <c r="AF67" s="102"/>
      <c r="AG67" s="99"/>
      <c r="AH67" s="99"/>
      <c r="AI67" s="99"/>
      <c r="AJ67" s="99"/>
      <c r="AK67" s="99"/>
      <c r="AL67" s="10"/>
      <c r="AM67" s="99"/>
      <c r="AN67" s="103"/>
      <c r="AO67" s="16"/>
    </row>
    <row r="68" spans="1:41" x14ac:dyDescent="0.25">
      <c r="A68" s="86"/>
      <c r="B68" s="92"/>
      <c r="C68" s="99"/>
      <c r="D68" s="10"/>
      <c r="E68" s="10"/>
      <c r="F68" s="99"/>
      <c r="G68" s="10"/>
      <c r="H68" s="10"/>
      <c r="I68" s="100"/>
      <c r="J68" s="93"/>
      <c r="K68" s="92"/>
      <c r="L68" s="99"/>
      <c r="M68" s="10"/>
      <c r="N68" s="10"/>
      <c r="O68" s="99"/>
      <c r="P68" s="10"/>
      <c r="Q68" s="10"/>
      <c r="R68" s="100"/>
      <c r="S68" s="93"/>
      <c r="T68" s="100"/>
      <c r="U68" s="105" t="e">
        <f>VLOOKUP(T68,Species!$A$2:$D$2230,2,FALSE)</f>
        <v>#N/A</v>
      </c>
      <c r="V68" s="105" t="e">
        <f>VLOOKUP(T68,Species!$A$2:$D$2230,3,FALSE)</f>
        <v>#N/A</v>
      </c>
      <c r="W68" s="105" t="e">
        <f>VLOOKUP(T68,Species!$A$2:$D$2230,4,FALSE)</f>
        <v>#N/A</v>
      </c>
      <c r="X68" s="10"/>
      <c r="Y68" s="10"/>
      <c r="Z68" s="101"/>
      <c r="AA68" s="99"/>
      <c r="AB68" s="99"/>
      <c r="AC68" s="102"/>
      <c r="AD68" s="102"/>
      <c r="AE68" s="102"/>
      <c r="AF68" s="102"/>
      <c r="AG68" s="99"/>
      <c r="AH68" s="99"/>
      <c r="AI68" s="99"/>
      <c r="AJ68" s="99"/>
      <c r="AK68" s="99"/>
      <c r="AL68" s="10"/>
      <c r="AM68" s="99"/>
      <c r="AN68" s="103"/>
      <c r="AO68" s="16"/>
    </row>
    <row r="69" spans="1:41" x14ac:dyDescent="0.25">
      <c r="A69" s="86"/>
      <c r="B69" s="92"/>
      <c r="C69" s="99"/>
      <c r="D69" s="10"/>
      <c r="E69" s="10"/>
      <c r="F69" s="99"/>
      <c r="G69" s="10"/>
      <c r="H69" s="10"/>
      <c r="I69" s="100"/>
      <c r="J69" s="93"/>
      <c r="K69" s="92"/>
      <c r="L69" s="99"/>
      <c r="M69" s="10"/>
      <c r="N69" s="10"/>
      <c r="O69" s="99"/>
      <c r="P69" s="10"/>
      <c r="Q69" s="10"/>
      <c r="R69" s="100"/>
      <c r="S69" s="93"/>
      <c r="T69" s="100"/>
      <c r="U69" s="105" t="e">
        <f>VLOOKUP(T69,Species!$A$2:$D$2230,2,FALSE)</f>
        <v>#N/A</v>
      </c>
      <c r="V69" s="105" t="e">
        <f>VLOOKUP(T69,Species!$A$2:$D$2230,3,FALSE)</f>
        <v>#N/A</v>
      </c>
      <c r="W69" s="105" t="e">
        <f>VLOOKUP(T69,Species!$A$2:$D$2230,4,FALSE)</f>
        <v>#N/A</v>
      </c>
      <c r="X69" s="10"/>
      <c r="Y69" s="10"/>
      <c r="Z69" s="101"/>
      <c r="AA69" s="99"/>
      <c r="AB69" s="99"/>
      <c r="AC69" s="102"/>
      <c r="AD69" s="102"/>
      <c r="AE69" s="102"/>
      <c r="AF69" s="102"/>
      <c r="AG69" s="99"/>
      <c r="AH69" s="99"/>
      <c r="AI69" s="99"/>
      <c r="AJ69" s="99"/>
      <c r="AK69" s="99"/>
      <c r="AL69" s="10"/>
      <c r="AM69" s="99"/>
      <c r="AN69" s="103"/>
      <c r="AO69" s="16"/>
    </row>
    <row r="70" spans="1:41" x14ac:dyDescent="0.25">
      <c r="A70" s="86"/>
      <c r="B70" s="92"/>
      <c r="C70" s="99"/>
      <c r="D70" s="10"/>
      <c r="E70" s="10"/>
      <c r="F70" s="99"/>
      <c r="G70" s="10"/>
      <c r="H70" s="10"/>
      <c r="I70" s="100"/>
      <c r="J70" s="93"/>
      <c r="K70" s="92"/>
      <c r="L70" s="99"/>
      <c r="M70" s="10"/>
      <c r="N70" s="10"/>
      <c r="O70" s="99"/>
      <c r="P70" s="10"/>
      <c r="Q70" s="10"/>
      <c r="R70" s="100"/>
      <c r="S70" s="93"/>
      <c r="T70" s="100"/>
      <c r="U70" s="105" t="e">
        <f>VLOOKUP(T70,Species!$A$2:$D$2230,2,FALSE)</f>
        <v>#N/A</v>
      </c>
      <c r="V70" s="105" t="e">
        <f>VLOOKUP(T70,Species!$A$2:$D$2230,3,FALSE)</f>
        <v>#N/A</v>
      </c>
      <c r="W70" s="105" t="e">
        <f>VLOOKUP(T70,Species!$A$2:$D$2230,4,FALSE)</f>
        <v>#N/A</v>
      </c>
      <c r="X70" s="10"/>
      <c r="Y70" s="10"/>
      <c r="Z70" s="101"/>
      <c r="AA70" s="99"/>
      <c r="AB70" s="99"/>
      <c r="AC70" s="102"/>
      <c r="AD70" s="102"/>
      <c r="AE70" s="102"/>
      <c r="AF70" s="102"/>
      <c r="AG70" s="99"/>
      <c r="AH70" s="99"/>
      <c r="AI70" s="99"/>
      <c r="AJ70" s="99"/>
      <c r="AK70" s="99"/>
      <c r="AL70" s="10"/>
      <c r="AM70" s="99"/>
      <c r="AN70" s="103"/>
      <c r="AO70" s="16"/>
    </row>
    <row r="71" spans="1:41" x14ac:dyDescent="0.25">
      <c r="A71" s="86"/>
      <c r="B71" s="92"/>
      <c r="C71" s="99"/>
      <c r="D71" s="10"/>
      <c r="E71" s="10"/>
      <c r="F71" s="99"/>
      <c r="G71" s="10"/>
      <c r="H71" s="10"/>
      <c r="I71" s="100"/>
      <c r="J71" s="93"/>
      <c r="K71" s="92"/>
      <c r="L71" s="99"/>
      <c r="M71" s="10"/>
      <c r="N71" s="10"/>
      <c r="O71" s="99"/>
      <c r="P71" s="10"/>
      <c r="Q71" s="10"/>
      <c r="R71" s="100"/>
      <c r="S71" s="93"/>
      <c r="T71" s="100"/>
      <c r="U71" s="105" t="e">
        <f>VLOOKUP(T71,Species!$A$2:$D$2230,2,FALSE)</f>
        <v>#N/A</v>
      </c>
      <c r="V71" s="105" t="e">
        <f>VLOOKUP(T71,Species!$A$2:$D$2230,3,FALSE)</f>
        <v>#N/A</v>
      </c>
      <c r="W71" s="105" t="e">
        <f>VLOOKUP(T71,Species!$A$2:$D$2230,4,FALSE)</f>
        <v>#N/A</v>
      </c>
      <c r="X71" s="10"/>
      <c r="Y71" s="10"/>
      <c r="Z71" s="101"/>
      <c r="AA71" s="99"/>
      <c r="AB71" s="99"/>
      <c r="AC71" s="102"/>
      <c r="AD71" s="102"/>
      <c r="AE71" s="102"/>
      <c r="AF71" s="102"/>
      <c r="AG71" s="99"/>
      <c r="AH71" s="99"/>
      <c r="AI71" s="99"/>
      <c r="AJ71" s="99"/>
      <c r="AK71" s="99"/>
      <c r="AL71" s="10"/>
      <c r="AM71" s="99"/>
      <c r="AN71" s="103"/>
      <c r="AO71" s="16"/>
    </row>
    <row r="72" spans="1:41" x14ac:dyDescent="0.25">
      <c r="A72" s="86"/>
      <c r="B72" s="92"/>
      <c r="C72" s="99"/>
      <c r="D72" s="10"/>
      <c r="E72" s="10"/>
      <c r="F72" s="99"/>
      <c r="G72" s="10"/>
      <c r="H72" s="10"/>
      <c r="I72" s="100"/>
      <c r="J72" s="93"/>
      <c r="K72" s="92"/>
      <c r="L72" s="99"/>
      <c r="M72" s="10"/>
      <c r="N72" s="10"/>
      <c r="O72" s="99"/>
      <c r="P72" s="10"/>
      <c r="Q72" s="10"/>
      <c r="R72" s="100"/>
      <c r="S72" s="93"/>
      <c r="T72" s="100"/>
      <c r="U72" s="105" t="e">
        <f>VLOOKUP(T72,Species!$A$2:$D$2230,2,FALSE)</f>
        <v>#N/A</v>
      </c>
      <c r="V72" s="105" t="e">
        <f>VLOOKUP(T72,Species!$A$2:$D$2230,3,FALSE)</f>
        <v>#N/A</v>
      </c>
      <c r="W72" s="105" t="e">
        <f>VLOOKUP(T72,Species!$A$2:$D$2230,4,FALSE)</f>
        <v>#N/A</v>
      </c>
      <c r="X72" s="10"/>
      <c r="Y72" s="10"/>
      <c r="Z72" s="101"/>
      <c r="AA72" s="99"/>
      <c r="AB72" s="99"/>
      <c r="AC72" s="102"/>
      <c r="AD72" s="102"/>
      <c r="AE72" s="102"/>
      <c r="AF72" s="102"/>
      <c r="AG72" s="99"/>
      <c r="AH72" s="99"/>
      <c r="AI72" s="99"/>
      <c r="AJ72" s="99"/>
      <c r="AK72" s="99"/>
      <c r="AL72" s="10"/>
      <c r="AM72" s="99"/>
      <c r="AN72" s="103"/>
      <c r="AO72" s="16"/>
    </row>
    <row r="73" spans="1:41" x14ac:dyDescent="0.25">
      <c r="A73" s="86"/>
      <c r="B73" s="92"/>
      <c r="C73" s="99"/>
      <c r="D73" s="10"/>
      <c r="E73" s="10"/>
      <c r="F73" s="99"/>
      <c r="G73" s="10"/>
      <c r="H73" s="10"/>
      <c r="I73" s="100"/>
      <c r="J73" s="93"/>
      <c r="K73" s="92"/>
      <c r="L73" s="99"/>
      <c r="M73" s="10"/>
      <c r="N73" s="10"/>
      <c r="O73" s="99"/>
      <c r="P73" s="10"/>
      <c r="Q73" s="10"/>
      <c r="R73" s="100"/>
      <c r="S73" s="93"/>
      <c r="T73" s="100"/>
      <c r="U73" s="105" t="e">
        <f>VLOOKUP(T73,Species!$A$2:$D$2230,2,FALSE)</f>
        <v>#N/A</v>
      </c>
      <c r="V73" s="105" t="e">
        <f>VLOOKUP(T73,Species!$A$2:$D$2230,3,FALSE)</f>
        <v>#N/A</v>
      </c>
      <c r="W73" s="105" t="e">
        <f>VLOOKUP(T73,Species!$A$2:$D$2230,4,FALSE)</f>
        <v>#N/A</v>
      </c>
      <c r="X73" s="10"/>
      <c r="Y73" s="10"/>
      <c r="Z73" s="101"/>
      <c r="AA73" s="99"/>
      <c r="AB73" s="99"/>
      <c r="AC73" s="102"/>
      <c r="AD73" s="102"/>
      <c r="AE73" s="102"/>
      <c r="AF73" s="102"/>
      <c r="AG73" s="99"/>
      <c r="AH73" s="99"/>
      <c r="AI73" s="99"/>
      <c r="AJ73" s="99"/>
      <c r="AK73" s="99"/>
      <c r="AL73" s="10"/>
      <c r="AM73" s="99"/>
      <c r="AN73" s="103"/>
      <c r="AO73" s="16"/>
    </row>
    <row r="74" spans="1:41" x14ac:dyDescent="0.25">
      <c r="A74" s="86"/>
      <c r="B74" s="92"/>
      <c r="C74" s="99"/>
      <c r="D74" s="10"/>
      <c r="E74" s="10"/>
      <c r="F74" s="99"/>
      <c r="G74" s="10"/>
      <c r="H74" s="10"/>
      <c r="I74" s="100"/>
      <c r="J74" s="93"/>
      <c r="K74" s="92"/>
      <c r="L74" s="99"/>
      <c r="M74" s="10"/>
      <c r="N74" s="10"/>
      <c r="O74" s="99"/>
      <c r="P74" s="10"/>
      <c r="Q74" s="10"/>
      <c r="R74" s="100"/>
      <c r="S74" s="93"/>
      <c r="T74" s="100"/>
      <c r="U74" s="105" t="e">
        <f>VLOOKUP(T74,Species!$A$2:$D$2230,2,FALSE)</f>
        <v>#N/A</v>
      </c>
      <c r="V74" s="105" t="e">
        <f>VLOOKUP(T74,Species!$A$2:$D$2230,3,FALSE)</f>
        <v>#N/A</v>
      </c>
      <c r="W74" s="105" t="e">
        <f>VLOOKUP(T74,Species!$A$2:$D$2230,4,FALSE)</f>
        <v>#N/A</v>
      </c>
      <c r="X74" s="10"/>
      <c r="Y74" s="10"/>
      <c r="Z74" s="101"/>
      <c r="AA74" s="99"/>
      <c r="AB74" s="99"/>
      <c r="AC74" s="102"/>
      <c r="AD74" s="102"/>
      <c r="AE74" s="102"/>
      <c r="AF74" s="102"/>
      <c r="AG74" s="99"/>
      <c r="AH74" s="99"/>
      <c r="AI74" s="99"/>
      <c r="AJ74" s="99"/>
      <c r="AK74" s="99"/>
      <c r="AL74" s="10"/>
      <c r="AM74" s="99"/>
      <c r="AN74" s="103"/>
      <c r="AO74" s="16"/>
    </row>
    <row r="75" spans="1:41" x14ac:dyDescent="0.25">
      <c r="A75" s="87"/>
      <c r="B75" s="94"/>
      <c r="C75" s="99"/>
      <c r="D75" s="54"/>
      <c r="E75" s="54"/>
      <c r="F75" s="99"/>
      <c r="G75" s="54"/>
      <c r="H75" s="54"/>
      <c r="I75" s="100"/>
      <c r="J75" s="95"/>
      <c r="K75" s="94"/>
      <c r="L75" s="99"/>
      <c r="M75" s="54"/>
      <c r="N75" s="54"/>
      <c r="O75" s="99"/>
      <c r="P75" s="54"/>
      <c r="Q75" s="54"/>
      <c r="R75" s="100"/>
      <c r="S75" s="95"/>
      <c r="T75" s="100"/>
      <c r="U75" s="105" t="e">
        <f>VLOOKUP(T75,Species!$A$2:$D$2230,2,FALSE)</f>
        <v>#N/A</v>
      </c>
      <c r="V75" s="105" t="e">
        <f>VLOOKUP(T75,Species!$A$2:$D$2230,3,FALSE)</f>
        <v>#N/A</v>
      </c>
      <c r="W75" s="105" t="e">
        <f>VLOOKUP(T75,Species!$A$2:$D$2230,4,FALSE)</f>
        <v>#N/A</v>
      </c>
      <c r="X75" s="54"/>
      <c r="Y75" s="54"/>
      <c r="Z75" s="101"/>
      <c r="AA75" s="99"/>
      <c r="AB75" s="99"/>
      <c r="AC75" s="102"/>
      <c r="AD75" s="102"/>
      <c r="AE75" s="102"/>
      <c r="AF75" s="102"/>
      <c r="AG75" s="102"/>
      <c r="AH75" s="102"/>
      <c r="AI75" s="102"/>
      <c r="AJ75" s="102"/>
      <c r="AK75" s="102"/>
      <c r="AL75" s="54"/>
      <c r="AM75" s="102"/>
      <c r="AN75" s="104"/>
      <c r="AO75" s="16"/>
    </row>
    <row r="76" spans="1:41" x14ac:dyDescent="0.25">
      <c r="A76" s="86"/>
      <c r="B76" s="92"/>
      <c r="C76" s="99"/>
      <c r="D76" s="10"/>
      <c r="E76" s="10"/>
      <c r="F76" s="99"/>
      <c r="G76" s="10"/>
      <c r="H76" s="10"/>
      <c r="I76" s="100"/>
      <c r="J76" s="93"/>
      <c r="K76" s="92"/>
      <c r="L76" s="99"/>
      <c r="M76" s="10"/>
      <c r="N76" s="10"/>
      <c r="O76" s="99"/>
      <c r="P76" s="10"/>
      <c r="Q76" s="10"/>
      <c r="R76" s="100"/>
      <c r="S76" s="93"/>
      <c r="T76" s="100"/>
      <c r="U76" s="105" t="e">
        <f>VLOOKUP(T76,Species!$A$2:$D$2230,2,FALSE)</f>
        <v>#N/A</v>
      </c>
      <c r="V76" s="105" t="e">
        <f>VLOOKUP(T76,Species!$A$2:$D$2230,3,FALSE)</f>
        <v>#N/A</v>
      </c>
      <c r="W76" s="105" t="e">
        <f>VLOOKUP(T76,Species!$A$2:$D$2230,4,FALSE)</f>
        <v>#N/A</v>
      </c>
      <c r="X76" s="10"/>
      <c r="Y76" s="10"/>
      <c r="Z76" s="101"/>
      <c r="AA76" s="99"/>
      <c r="AB76" s="99"/>
      <c r="AC76" s="102"/>
      <c r="AD76" s="102"/>
      <c r="AE76" s="102"/>
      <c r="AF76" s="102"/>
      <c r="AG76" s="99"/>
      <c r="AH76" s="99"/>
      <c r="AI76" s="99"/>
      <c r="AJ76" s="99"/>
      <c r="AK76" s="99"/>
      <c r="AL76" s="10"/>
      <c r="AM76" s="99"/>
      <c r="AN76" s="103"/>
      <c r="AO76" s="16"/>
    </row>
    <row r="77" spans="1:41" x14ac:dyDescent="0.25">
      <c r="A77" s="86"/>
      <c r="B77" s="92"/>
      <c r="C77" s="99"/>
      <c r="D77" s="10"/>
      <c r="E77" s="10"/>
      <c r="F77" s="99"/>
      <c r="G77" s="10"/>
      <c r="H77" s="10"/>
      <c r="I77" s="100"/>
      <c r="J77" s="93"/>
      <c r="K77" s="92"/>
      <c r="L77" s="99"/>
      <c r="M77" s="10"/>
      <c r="N77" s="10"/>
      <c r="O77" s="99"/>
      <c r="P77" s="10"/>
      <c r="Q77" s="10"/>
      <c r="R77" s="100"/>
      <c r="S77" s="93"/>
      <c r="T77" s="100"/>
      <c r="U77" s="105" t="e">
        <f>VLOOKUP(T77,Species!$A$2:$D$2230,2,FALSE)</f>
        <v>#N/A</v>
      </c>
      <c r="V77" s="105" t="e">
        <f>VLOOKUP(T77,Species!$A$2:$D$2230,3,FALSE)</f>
        <v>#N/A</v>
      </c>
      <c r="W77" s="105" t="e">
        <f>VLOOKUP(T77,Species!$A$2:$D$2230,4,FALSE)</f>
        <v>#N/A</v>
      </c>
      <c r="X77" s="10"/>
      <c r="Y77" s="10"/>
      <c r="Z77" s="101"/>
      <c r="AA77" s="99"/>
      <c r="AB77" s="99"/>
      <c r="AC77" s="102"/>
      <c r="AD77" s="102"/>
      <c r="AE77" s="102"/>
      <c r="AF77" s="102"/>
      <c r="AG77" s="99"/>
      <c r="AH77" s="99"/>
      <c r="AI77" s="99"/>
      <c r="AJ77" s="99"/>
      <c r="AK77" s="99"/>
      <c r="AL77" s="10"/>
      <c r="AM77" s="99"/>
      <c r="AN77" s="103"/>
      <c r="AO77" s="16"/>
    </row>
    <row r="78" spans="1:41" x14ac:dyDescent="0.25">
      <c r="A78" s="86"/>
      <c r="B78" s="92"/>
      <c r="C78" s="99"/>
      <c r="D78" s="10"/>
      <c r="E78" s="10"/>
      <c r="F78" s="99"/>
      <c r="G78" s="10"/>
      <c r="H78" s="10"/>
      <c r="I78" s="100"/>
      <c r="J78" s="93"/>
      <c r="K78" s="92"/>
      <c r="L78" s="99"/>
      <c r="M78" s="10"/>
      <c r="N78" s="10"/>
      <c r="O78" s="99"/>
      <c r="P78" s="10"/>
      <c r="Q78" s="10"/>
      <c r="R78" s="100"/>
      <c r="S78" s="93"/>
      <c r="T78" s="100"/>
      <c r="U78" s="105" t="e">
        <f>VLOOKUP(T78,Species!$A$2:$D$2230,2,FALSE)</f>
        <v>#N/A</v>
      </c>
      <c r="V78" s="105" t="e">
        <f>VLOOKUP(T78,Species!$A$2:$D$2230,3,FALSE)</f>
        <v>#N/A</v>
      </c>
      <c r="W78" s="105" t="e">
        <f>VLOOKUP(T78,Species!$A$2:$D$2230,4,FALSE)</f>
        <v>#N/A</v>
      </c>
      <c r="X78" s="10"/>
      <c r="Y78" s="10"/>
      <c r="Z78" s="101"/>
      <c r="AA78" s="99"/>
      <c r="AB78" s="99"/>
      <c r="AC78" s="102"/>
      <c r="AD78" s="102"/>
      <c r="AE78" s="102"/>
      <c r="AF78" s="102"/>
      <c r="AG78" s="99"/>
      <c r="AH78" s="99"/>
      <c r="AI78" s="99"/>
      <c r="AJ78" s="99"/>
      <c r="AK78" s="99"/>
      <c r="AL78" s="10"/>
      <c r="AM78" s="99"/>
      <c r="AN78" s="103"/>
      <c r="AO78" s="16"/>
    </row>
    <row r="79" spans="1:41" x14ac:dyDescent="0.25">
      <c r="A79" s="86"/>
      <c r="B79" s="92"/>
      <c r="C79" s="99"/>
      <c r="D79" s="10"/>
      <c r="E79" s="10"/>
      <c r="F79" s="99"/>
      <c r="G79" s="10"/>
      <c r="H79" s="10"/>
      <c r="I79" s="100"/>
      <c r="J79" s="93"/>
      <c r="K79" s="92"/>
      <c r="L79" s="99"/>
      <c r="M79" s="10"/>
      <c r="N79" s="10"/>
      <c r="O79" s="99"/>
      <c r="P79" s="10"/>
      <c r="Q79" s="10"/>
      <c r="R79" s="100"/>
      <c r="S79" s="93"/>
      <c r="T79" s="100"/>
      <c r="U79" s="105" t="e">
        <f>VLOOKUP(T79,Species!$A$2:$D$2230,2,FALSE)</f>
        <v>#N/A</v>
      </c>
      <c r="V79" s="105" t="e">
        <f>VLOOKUP(T79,Species!$A$2:$D$2230,3,FALSE)</f>
        <v>#N/A</v>
      </c>
      <c r="W79" s="105" t="e">
        <f>VLOOKUP(T79,Species!$A$2:$D$2230,4,FALSE)</f>
        <v>#N/A</v>
      </c>
      <c r="X79" s="10"/>
      <c r="Y79" s="10"/>
      <c r="Z79" s="101"/>
      <c r="AA79" s="99"/>
      <c r="AB79" s="99"/>
      <c r="AC79" s="102"/>
      <c r="AD79" s="102"/>
      <c r="AE79" s="102"/>
      <c r="AF79" s="102"/>
      <c r="AG79" s="99"/>
      <c r="AH79" s="99"/>
      <c r="AI79" s="99"/>
      <c r="AJ79" s="99"/>
      <c r="AK79" s="99"/>
      <c r="AL79" s="10"/>
      <c r="AM79" s="99"/>
      <c r="AN79" s="103"/>
      <c r="AO79" s="16"/>
    </row>
    <row r="80" spans="1:41" x14ac:dyDescent="0.25">
      <c r="A80" s="86"/>
      <c r="B80" s="92"/>
      <c r="C80" s="99"/>
      <c r="D80" s="10"/>
      <c r="E80" s="10"/>
      <c r="F80" s="99"/>
      <c r="G80" s="10"/>
      <c r="H80" s="10"/>
      <c r="I80" s="100"/>
      <c r="J80" s="93"/>
      <c r="K80" s="92"/>
      <c r="L80" s="99"/>
      <c r="M80" s="10"/>
      <c r="N80" s="10"/>
      <c r="O80" s="99"/>
      <c r="P80" s="10"/>
      <c r="Q80" s="10"/>
      <c r="R80" s="100"/>
      <c r="S80" s="93"/>
      <c r="T80" s="100"/>
      <c r="U80" s="105" t="e">
        <f>VLOOKUP(T80,Species!$A$2:$D$2230,2,FALSE)</f>
        <v>#N/A</v>
      </c>
      <c r="V80" s="105" t="e">
        <f>VLOOKUP(T80,Species!$A$2:$D$2230,3,FALSE)</f>
        <v>#N/A</v>
      </c>
      <c r="W80" s="105" t="e">
        <f>VLOOKUP(T80,Species!$A$2:$D$2230,4,FALSE)</f>
        <v>#N/A</v>
      </c>
      <c r="X80" s="10"/>
      <c r="Y80" s="10"/>
      <c r="Z80" s="101"/>
      <c r="AA80" s="99"/>
      <c r="AB80" s="99"/>
      <c r="AC80" s="102"/>
      <c r="AD80" s="102"/>
      <c r="AE80" s="102"/>
      <c r="AF80" s="102"/>
      <c r="AG80" s="99"/>
      <c r="AH80" s="99"/>
      <c r="AI80" s="99"/>
      <c r="AJ80" s="99"/>
      <c r="AK80" s="99"/>
      <c r="AL80" s="10"/>
      <c r="AM80" s="99"/>
      <c r="AN80" s="103"/>
      <c r="AO80" s="16"/>
    </row>
    <row r="81" spans="1:41" x14ac:dyDescent="0.25">
      <c r="A81" s="86"/>
      <c r="B81" s="92"/>
      <c r="C81" s="99"/>
      <c r="D81" s="10"/>
      <c r="E81" s="10"/>
      <c r="F81" s="99"/>
      <c r="G81" s="10"/>
      <c r="H81" s="10"/>
      <c r="I81" s="100"/>
      <c r="J81" s="93"/>
      <c r="K81" s="92"/>
      <c r="L81" s="99"/>
      <c r="M81" s="10"/>
      <c r="N81" s="10"/>
      <c r="O81" s="99"/>
      <c r="P81" s="10"/>
      <c r="Q81" s="10"/>
      <c r="R81" s="100"/>
      <c r="S81" s="93"/>
      <c r="T81" s="100"/>
      <c r="U81" s="105" t="e">
        <f>VLOOKUP(T81,Species!$A$2:$D$2230,2,FALSE)</f>
        <v>#N/A</v>
      </c>
      <c r="V81" s="105" t="e">
        <f>VLOOKUP(T81,Species!$A$2:$D$2230,3,FALSE)</f>
        <v>#N/A</v>
      </c>
      <c r="W81" s="105" t="e">
        <f>VLOOKUP(T81,Species!$A$2:$D$2230,4,FALSE)</f>
        <v>#N/A</v>
      </c>
      <c r="X81" s="10"/>
      <c r="Y81" s="10"/>
      <c r="Z81" s="101"/>
      <c r="AA81" s="99"/>
      <c r="AB81" s="99"/>
      <c r="AC81" s="102"/>
      <c r="AD81" s="102"/>
      <c r="AE81" s="102"/>
      <c r="AF81" s="102"/>
      <c r="AG81" s="99"/>
      <c r="AH81" s="99"/>
      <c r="AI81" s="99"/>
      <c r="AJ81" s="99"/>
      <c r="AK81" s="99"/>
      <c r="AL81" s="10"/>
      <c r="AM81" s="99"/>
      <c r="AN81" s="103"/>
      <c r="AO81" s="16"/>
    </row>
    <row r="82" spans="1:41" x14ac:dyDescent="0.25">
      <c r="A82" s="86"/>
      <c r="B82" s="92"/>
      <c r="C82" s="99"/>
      <c r="D82" s="10"/>
      <c r="E82" s="10"/>
      <c r="F82" s="99"/>
      <c r="G82" s="10"/>
      <c r="H82" s="10"/>
      <c r="I82" s="100"/>
      <c r="J82" s="93"/>
      <c r="K82" s="92"/>
      <c r="L82" s="99"/>
      <c r="M82" s="10"/>
      <c r="N82" s="10"/>
      <c r="O82" s="99"/>
      <c r="P82" s="10"/>
      <c r="Q82" s="10"/>
      <c r="R82" s="100"/>
      <c r="S82" s="93"/>
      <c r="T82" s="100"/>
      <c r="U82" s="105" t="e">
        <f>VLOOKUP(T82,Species!$A$2:$D$2230,2,FALSE)</f>
        <v>#N/A</v>
      </c>
      <c r="V82" s="105" t="e">
        <f>VLOOKUP(T82,Species!$A$2:$D$2230,3,FALSE)</f>
        <v>#N/A</v>
      </c>
      <c r="W82" s="105" t="e">
        <f>VLOOKUP(T82,Species!$A$2:$D$2230,4,FALSE)</f>
        <v>#N/A</v>
      </c>
      <c r="X82" s="10"/>
      <c r="Y82" s="10"/>
      <c r="Z82" s="101"/>
      <c r="AA82" s="99"/>
      <c r="AB82" s="99"/>
      <c r="AC82" s="102"/>
      <c r="AD82" s="102"/>
      <c r="AE82" s="102"/>
      <c r="AF82" s="102"/>
      <c r="AG82" s="99"/>
      <c r="AH82" s="99"/>
      <c r="AI82" s="99"/>
      <c r="AJ82" s="99"/>
      <c r="AK82" s="99"/>
      <c r="AL82" s="10"/>
      <c r="AM82" s="99"/>
      <c r="AN82" s="103"/>
      <c r="AO82" s="16"/>
    </row>
    <row r="83" spans="1:41" x14ac:dyDescent="0.25">
      <c r="A83" s="86"/>
      <c r="B83" s="92"/>
      <c r="C83" s="99"/>
      <c r="D83" s="10"/>
      <c r="E83" s="10"/>
      <c r="F83" s="99"/>
      <c r="G83" s="10"/>
      <c r="H83" s="10"/>
      <c r="I83" s="100"/>
      <c r="J83" s="93"/>
      <c r="K83" s="92"/>
      <c r="L83" s="99"/>
      <c r="M83" s="10"/>
      <c r="N83" s="10"/>
      <c r="O83" s="99"/>
      <c r="P83" s="10"/>
      <c r="Q83" s="10"/>
      <c r="R83" s="100"/>
      <c r="S83" s="93"/>
      <c r="T83" s="100"/>
      <c r="U83" s="105" t="e">
        <f>VLOOKUP(T83,Species!$A$2:$D$2230,2,FALSE)</f>
        <v>#N/A</v>
      </c>
      <c r="V83" s="105" t="e">
        <f>VLOOKUP(T83,Species!$A$2:$D$2230,3,FALSE)</f>
        <v>#N/A</v>
      </c>
      <c r="W83" s="105" t="e">
        <f>VLOOKUP(T83,Species!$A$2:$D$2230,4,FALSE)</f>
        <v>#N/A</v>
      </c>
      <c r="X83" s="10"/>
      <c r="Y83" s="10"/>
      <c r="Z83" s="101"/>
      <c r="AA83" s="99"/>
      <c r="AB83" s="99"/>
      <c r="AC83" s="102"/>
      <c r="AD83" s="102"/>
      <c r="AE83" s="102"/>
      <c r="AF83" s="102"/>
      <c r="AG83" s="99"/>
      <c r="AH83" s="99"/>
      <c r="AI83" s="99"/>
      <c r="AJ83" s="99"/>
      <c r="AK83" s="99"/>
      <c r="AL83" s="10"/>
      <c r="AM83" s="99"/>
      <c r="AN83" s="103"/>
      <c r="AO83" s="16"/>
    </row>
    <row r="84" spans="1:41" x14ac:dyDescent="0.25">
      <c r="A84" s="87"/>
      <c r="B84" s="94"/>
      <c r="C84" s="99"/>
      <c r="D84" s="54"/>
      <c r="E84" s="54"/>
      <c r="F84" s="99"/>
      <c r="G84" s="54"/>
      <c r="H84" s="54"/>
      <c r="I84" s="100"/>
      <c r="J84" s="95"/>
      <c r="K84" s="94"/>
      <c r="L84" s="99"/>
      <c r="M84" s="54"/>
      <c r="N84" s="54"/>
      <c r="O84" s="99"/>
      <c r="P84" s="54"/>
      <c r="Q84" s="54"/>
      <c r="R84" s="100"/>
      <c r="S84" s="95"/>
      <c r="T84" s="100"/>
      <c r="U84" s="105" t="e">
        <f>VLOOKUP(T84,Species!$A$2:$D$2230,2,FALSE)</f>
        <v>#N/A</v>
      </c>
      <c r="V84" s="105" t="e">
        <f>VLOOKUP(T84,Species!$A$2:$D$2230,3,FALSE)</f>
        <v>#N/A</v>
      </c>
      <c r="W84" s="105" t="e">
        <f>VLOOKUP(T84,Species!$A$2:$D$2230,4,FALSE)</f>
        <v>#N/A</v>
      </c>
      <c r="X84" s="54"/>
      <c r="Y84" s="54"/>
      <c r="Z84" s="101"/>
      <c r="AA84" s="99"/>
      <c r="AB84" s="99"/>
      <c r="AC84" s="102"/>
      <c r="AD84" s="102"/>
      <c r="AE84" s="102"/>
      <c r="AF84" s="102"/>
      <c r="AG84" s="102"/>
      <c r="AH84" s="102"/>
      <c r="AI84" s="102"/>
      <c r="AJ84" s="102"/>
      <c r="AK84" s="102"/>
      <c r="AL84" s="54"/>
      <c r="AM84" s="102"/>
      <c r="AN84" s="104"/>
      <c r="AO84" s="16"/>
    </row>
    <row r="85" spans="1:41" x14ac:dyDescent="0.25">
      <c r="A85" s="86"/>
      <c r="B85" s="92"/>
      <c r="C85" s="99"/>
      <c r="D85" s="10"/>
      <c r="E85" s="10"/>
      <c r="F85" s="99"/>
      <c r="G85" s="10"/>
      <c r="H85" s="10"/>
      <c r="I85" s="100"/>
      <c r="J85" s="93"/>
      <c r="K85" s="92"/>
      <c r="L85" s="99"/>
      <c r="M85" s="10"/>
      <c r="N85" s="10"/>
      <c r="O85" s="99"/>
      <c r="P85" s="10"/>
      <c r="Q85" s="10"/>
      <c r="R85" s="100"/>
      <c r="S85" s="93"/>
      <c r="T85" s="100"/>
      <c r="U85" s="105" t="e">
        <f>VLOOKUP(T85,Species!$A$2:$D$2230,2,FALSE)</f>
        <v>#N/A</v>
      </c>
      <c r="V85" s="105" t="e">
        <f>VLOOKUP(T85,Species!$A$2:$D$2230,3,FALSE)</f>
        <v>#N/A</v>
      </c>
      <c r="W85" s="105" t="e">
        <f>VLOOKUP(T85,Species!$A$2:$D$2230,4,FALSE)</f>
        <v>#N/A</v>
      </c>
      <c r="X85" s="10"/>
      <c r="Y85" s="10"/>
      <c r="Z85" s="101"/>
      <c r="AA85" s="99"/>
      <c r="AB85" s="99"/>
      <c r="AC85" s="102"/>
      <c r="AD85" s="102"/>
      <c r="AE85" s="102"/>
      <c r="AF85" s="102"/>
      <c r="AG85" s="99"/>
      <c r="AH85" s="99"/>
      <c r="AI85" s="99"/>
      <c r="AJ85" s="99"/>
      <c r="AK85" s="99"/>
      <c r="AL85" s="10"/>
      <c r="AM85" s="99"/>
      <c r="AN85" s="103"/>
      <c r="AO85" s="16"/>
    </row>
    <row r="86" spans="1:41" x14ac:dyDescent="0.25">
      <c r="A86" s="86"/>
      <c r="B86" s="92"/>
      <c r="C86" s="99"/>
      <c r="D86" s="10"/>
      <c r="E86" s="10"/>
      <c r="F86" s="99"/>
      <c r="G86" s="10"/>
      <c r="H86" s="10"/>
      <c r="I86" s="100"/>
      <c r="J86" s="93"/>
      <c r="K86" s="92"/>
      <c r="L86" s="99"/>
      <c r="M86" s="10"/>
      <c r="N86" s="10"/>
      <c r="O86" s="99"/>
      <c r="P86" s="10"/>
      <c r="Q86" s="10"/>
      <c r="R86" s="100"/>
      <c r="S86" s="93"/>
      <c r="T86" s="100"/>
      <c r="U86" s="105" t="e">
        <f>VLOOKUP(T86,Species!$A$2:$D$2230,2,FALSE)</f>
        <v>#N/A</v>
      </c>
      <c r="V86" s="105" t="e">
        <f>VLOOKUP(T86,Species!$A$2:$D$2230,3,FALSE)</f>
        <v>#N/A</v>
      </c>
      <c r="W86" s="105" t="e">
        <f>VLOOKUP(T86,Species!$A$2:$D$2230,4,FALSE)</f>
        <v>#N/A</v>
      </c>
      <c r="X86" s="10"/>
      <c r="Y86" s="10"/>
      <c r="Z86" s="101"/>
      <c r="AA86" s="99"/>
      <c r="AB86" s="99"/>
      <c r="AC86" s="102"/>
      <c r="AD86" s="102"/>
      <c r="AE86" s="102"/>
      <c r="AF86" s="102"/>
      <c r="AG86" s="99"/>
      <c r="AH86" s="99"/>
      <c r="AI86" s="99"/>
      <c r="AJ86" s="99"/>
      <c r="AK86" s="99"/>
      <c r="AL86" s="10"/>
      <c r="AM86" s="99"/>
      <c r="AN86" s="103"/>
      <c r="AO86" s="16"/>
    </row>
    <row r="87" spans="1:41" x14ac:dyDescent="0.25">
      <c r="A87" s="86"/>
      <c r="B87" s="92"/>
      <c r="C87" s="99"/>
      <c r="D87" s="10"/>
      <c r="E87" s="10"/>
      <c r="F87" s="99"/>
      <c r="G87" s="10"/>
      <c r="H87" s="10"/>
      <c r="I87" s="100"/>
      <c r="J87" s="93"/>
      <c r="K87" s="92"/>
      <c r="L87" s="99"/>
      <c r="M87" s="10"/>
      <c r="N87" s="10"/>
      <c r="O87" s="99"/>
      <c r="P87" s="10"/>
      <c r="Q87" s="10"/>
      <c r="R87" s="100"/>
      <c r="S87" s="93"/>
      <c r="T87" s="100"/>
      <c r="U87" s="105" t="e">
        <f>VLOOKUP(T87,Species!$A$2:$D$2230,2,FALSE)</f>
        <v>#N/A</v>
      </c>
      <c r="V87" s="105" t="e">
        <f>VLOOKUP(T87,Species!$A$2:$D$2230,3,FALSE)</f>
        <v>#N/A</v>
      </c>
      <c r="W87" s="105" t="e">
        <f>VLOOKUP(T87,Species!$A$2:$D$2230,4,FALSE)</f>
        <v>#N/A</v>
      </c>
      <c r="X87" s="10"/>
      <c r="Y87" s="10"/>
      <c r="Z87" s="101"/>
      <c r="AA87" s="99"/>
      <c r="AB87" s="99"/>
      <c r="AC87" s="102"/>
      <c r="AD87" s="102"/>
      <c r="AE87" s="102"/>
      <c r="AF87" s="102"/>
      <c r="AG87" s="99"/>
      <c r="AH87" s="99"/>
      <c r="AI87" s="99"/>
      <c r="AJ87" s="99"/>
      <c r="AK87" s="99"/>
      <c r="AL87" s="10"/>
      <c r="AM87" s="99"/>
      <c r="AN87" s="103"/>
      <c r="AO87" s="16"/>
    </row>
    <row r="88" spans="1:41" x14ac:dyDescent="0.25">
      <c r="A88" s="86"/>
      <c r="B88" s="92"/>
      <c r="C88" s="99"/>
      <c r="D88" s="10"/>
      <c r="E88" s="10"/>
      <c r="F88" s="99"/>
      <c r="G88" s="10"/>
      <c r="H88" s="10"/>
      <c r="I88" s="100"/>
      <c r="J88" s="93"/>
      <c r="K88" s="92"/>
      <c r="L88" s="99"/>
      <c r="M88" s="10"/>
      <c r="N88" s="10"/>
      <c r="O88" s="99"/>
      <c r="P88" s="10"/>
      <c r="Q88" s="10"/>
      <c r="R88" s="100"/>
      <c r="S88" s="93"/>
      <c r="T88" s="100"/>
      <c r="U88" s="105" t="e">
        <f>VLOOKUP(T88,Species!$A$2:$D$2230,2,FALSE)</f>
        <v>#N/A</v>
      </c>
      <c r="V88" s="105" t="e">
        <f>VLOOKUP(T88,Species!$A$2:$D$2230,3,FALSE)</f>
        <v>#N/A</v>
      </c>
      <c r="W88" s="105" t="e">
        <f>VLOOKUP(T88,Species!$A$2:$D$2230,4,FALSE)</f>
        <v>#N/A</v>
      </c>
      <c r="X88" s="10"/>
      <c r="Y88" s="10"/>
      <c r="Z88" s="101"/>
      <c r="AA88" s="99"/>
      <c r="AB88" s="99"/>
      <c r="AC88" s="102"/>
      <c r="AD88" s="102"/>
      <c r="AE88" s="102"/>
      <c r="AF88" s="102"/>
      <c r="AG88" s="99"/>
      <c r="AH88" s="99"/>
      <c r="AI88" s="99"/>
      <c r="AJ88" s="99"/>
      <c r="AK88" s="99"/>
      <c r="AL88" s="10"/>
      <c r="AM88" s="99"/>
      <c r="AN88" s="103"/>
      <c r="AO88" s="16"/>
    </row>
    <row r="89" spans="1:41" x14ac:dyDescent="0.25">
      <c r="A89" s="86"/>
      <c r="B89" s="92"/>
      <c r="C89" s="99"/>
      <c r="D89" s="10"/>
      <c r="E89" s="10"/>
      <c r="F89" s="99"/>
      <c r="G89" s="10"/>
      <c r="H89" s="10"/>
      <c r="I89" s="100"/>
      <c r="J89" s="93"/>
      <c r="K89" s="92"/>
      <c r="L89" s="99"/>
      <c r="M89" s="10"/>
      <c r="N89" s="10"/>
      <c r="O89" s="99"/>
      <c r="P89" s="10"/>
      <c r="Q89" s="10"/>
      <c r="R89" s="100"/>
      <c r="S89" s="93"/>
      <c r="T89" s="100"/>
      <c r="U89" s="105" t="e">
        <f>VLOOKUP(T89,Species!$A$2:$D$2230,2,FALSE)</f>
        <v>#N/A</v>
      </c>
      <c r="V89" s="105" t="e">
        <f>VLOOKUP(T89,Species!$A$2:$D$2230,3,FALSE)</f>
        <v>#N/A</v>
      </c>
      <c r="W89" s="105" t="e">
        <f>VLOOKUP(T89,Species!$A$2:$D$2230,4,FALSE)</f>
        <v>#N/A</v>
      </c>
      <c r="X89" s="10"/>
      <c r="Y89" s="10"/>
      <c r="Z89" s="101"/>
      <c r="AA89" s="99"/>
      <c r="AB89" s="99"/>
      <c r="AC89" s="102"/>
      <c r="AD89" s="102"/>
      <c r="AE89" s="102"/>
      <c r="AF89" s="102"/>
      <c r="AG89" s="99"/>
      <c r="AH89" s="99"/>
      <c r="AI89" s="99"/>
      <c r="AJ89" s="99"/>
      <c r="AK89" s="99"/>
      <c r="AL89" s="10"/>
      <c r="AM89" s="99"/>
      <c r="AN89" s="103"/>
      <c r="AO89" s="16"/>
    </row>
    <row r="90" spans="1:41" x14ac:dyDescent="0.25">
      <c r="A90" s="86"/>
      <c r="B90" s="92"/>
      <c r="C90" s="99"/>
      <c r="D90" s="10"/>
      <c r="E90" s="10"/>
      <c r="F90" s="99"/>
      <c r="G90" s="10"/>
      <c r="H90" s="10"/>
      <c r="I90" s="100"/>
      <c r="J90" s="93"/>
      <c r="K90" s="92"/>
      <c r="L90" s="99"/>
      <c r="M90" s="10"/>
      <c r="N90" s="10"/>
      <c r="O90" s="99"/>
      <c r="P90" s="10"/>
      <c r="Q90" s="10"/>
      <c r="R90" s="100"/>
      <c r="S90" s="93"/>
      <c r="T90" s="100"/>
      <c r="U90" s="105" t="e">
        <f>VLOOKUP(T90,Species!$A$2:$D$2230,2,FALSE)</f>
        <v>#N/A</v>
      </c>
      <c r="V90" s="105" t="e">
        <f>VLOOKUP(T90,Species!$A$2:$D$2230,3,FALSE)</f>
        <v>#N/A</v>
      </c>
      <c r="W90" s="105" t="e">
        <f>VLOOKUP(T90,Species!$A$2:$D$2230,4,FALSE)</f>
        <v>#N/A</v>
      </c>
      <c r="X90" s="10"/>
      <c r="Y90" s="10"/>
      <c r="Z90" s="101"/>
      <c r="AA90" s="99"/>
      <c r="AB90" s="99"/>
      <c r="AC90" s="102"/>
      <c r="AD90" s="102"/>
      <c r="AE90" s="102"/>
      <c r="AF90" s="102"/>
      <c r="AG90" s="99"/>
      <c r="AH90" s="99"/>
      <c r="AI90" s="99"/>
      <c r="AJ90" s="99"/>
      <c r="AK90" s="99"/>
      <c r="AL90" s="10"/>
      <c r="AM90" s="99"/>
      <c r="AN90" s="103"/>
      <c r="AO90" s="16"/>
    </row>
    <row r="91" spans="1:41" x14ac:dyDescent="0.25">
      <c r="A91" s="86"/>
      <c r="B91" s="92"/>
      <c r="C91" s="99"/>
      <c r="D91" s="10"/>
      <c r="E91" s="10"/>
      <c r="F91" s="99"/>
      <c r="G91" s="10"/>
      <c r="H91" s="10"/>
      <c r="I91" s="100"/>
      <c r="J91" s="93"/>
      <c r="K91" s="92"/>
      <c r="L91" s="99"/>
      <c r="M91" s="10"/>
      <c r="N91" s="10"/>
      <c r="O91" s="99"/>
      <c r="P91" s="10"/>
      <c r="Q91" s="10"/>
      <c r="R91" s="100"/>
      <c r="S91" s="93"/>
      <c r="T91" s="100"/>
      <c r="U91" s="105" t="e">
        <f>VLOOKUP(T91,Species!$A$2:$D$2230,2,FALSE)</f>
        <v>#N/A</v>
      </c>
      <c r="V91" s="105" t="e">
        <f>VLOOKUP(T91,Species!$A$2:$D$2230,3,FALSE)</f>
        <v>#N/A</v>
      </c>
      <c r="W91" s="105" t="e">
        <f>VLOOKUP(T91,Species!$A$2:$D$2230,4,FALSE)</f>
        <v>#N/A</v>
      </c>
      <c r="X91" s="10"/>
      <c r="Y91" s="10"/>
      <c r="Z91" s="101"/>
      <c r="AA91" s="99"/>
      <c r="AB91" s="99"/>
      <c r="AC91" s="102"/>
      <c r="AD91" s="102"/>
      <c r="AE91" s="102"/>
      <c r="AF91" s="102"/>
      <c r="AG91" s="99"/>
      <c r="AH91" s="99"/>
      <c r="AI91" s="99"/>
      <c r="AJ91" s="99"/>
      <c r="AK91" s="99"/>
      <c r="AL91" s="10"/>
      <c r="AM91" s="99"/>
      <c r="AN91" s="103"/>
      <c r="AO91" s="16"/>
    </row>
    <row r="92" spans="1:41" x14ac:dyDescent="0.25">
      <c r="A92" s="86"/>
      <c r="B92" s="92"/>
      <c r="C92" s="99"/>
      <c r="D92" s="10"/>
      <c r="E92" s="10"/>
      <c r="F92" s="99"/>
      <c r="G92" s="10"/>
      <c r="H92" s="10"/>
      <c r="I92" s="100"/>
      <c r="J92" s="93"/>
      <c r="K92" s="92"/>
      <c r="L92" s="99"/>
      <c r="M92" s="10"/>
      <c r="N92" s="10"/>
      <c r="O92" s="99"/>
      <c r="P92" s="10"/>
      <c r="Q92" s="10"/>
      <c r="R92" s="100"/>
      <c r="S92" s="93"/>
      <c r="T92" s="100"/>
      <c r="U92" s="105" t="e">
        <f>VLOOKUP(T92,Species!$A$2:$D$2230,2,FALSE)</f>
        <v>#N/A</v>
      </c>
      <c r="V92" s="105" t="e">
        <f>VLOOKUP(T92,Species!$A$2:$D$2230,3,FALSE)</f>
        <v>#N/A</v>
      </c>
      <c r="W92" s="105" t="e">
        <f>VLOOKUP(T92,Species!$A$2:$D$2230,4,FALSE)</f>
        <v>#N/A</v>
      </c>
      <c r="X92" s="10"/>
      <c r="Y92" s="10"/>
      <c r="Z92" s="101"/>
      <c r="AA92" s="99"/>
      <c r="AB92" s="99"/>
      <c r="AC92" s="102"/>
      <c r="AD92" s="102"/>
      <c r="AE92" s="102"/>
      <c r="AF92" s="102"/>
      <c r="AG92" s="99"/>
      <c r="AH92" s="99"/>
      <c r="AI92" s="99"/>
      <c r="AJ92" s="99"/>
      <c r="AK92" s="99"/>
      <c r="AL92" s="10"/>
      <c r="AM92" s="99"/>
      <c r="AN92" s="103"/>
      <c r="AO92" s="16"/>
    </row>
    <row r="93" spans="1:41" x14ac:dyDescent="0.25">
      <c r="A93" s="87"/>
      <c r="B93" s="94"/>
      <c r="C93" s="99"/>
      <c r="D93" s="54"/>
      <c r="E93" s="54"/>
      <c r="F93" s="99"/>
      <c r="G93" s="54"/>
      <c r="H93" s="54"/>
      <c r="I93" s="100"/>
      <c r="J93" s="95"/>
      <c r="K93" s="94"/>
      <c r="L93" s="99"/>
      <c r="M93" s="54"/>
      <c r="N93" s="54"/>
      <c r="O93" s="99"/>
      <c r="P93" s="54"/>
      <c r="Q93" s="54"/>
      <c r="R93" s="100"/>
      <c r="S93" s="95"/>
      <c r="T93" s="100"/>
      <c r="U93" s="105" t="e">
        <f>VLOOKUP(T93,Species!$A$2:$D$2230,2,FALSE)</f>
        <v>#N/A</v>
      </c>
      <c r="V93" s="105" t="e">
        <f>VLOOKUP(T93,Species!$A$2:$D$2230,3,FALSE)</f>
        <v>#N/A</v>
      </c>
      <c r="W93" s="105" t="e">
        <f>VLOOKUP(T93,Species!$A$2:$D$2230,4,FALSE)</f>
        <v>#N/A</v>
      </c>
      <c r="X93" s="54"/>
      <c r="Y93" s="54"/>
      <c r="Z93" s="101"/>
      <c r="AA93" s="99"/>
      <c r="AB93" s="99"/>
      <c r="AC93" s="102"/>
      <c r="AD93" s="102"/>
      <c r="AE93" s="102"/>
      <c r="AF93" s="102"/>
      <c r="AG93" s="102"/>
      <c r="AH93" s="102"/>
      <c r="AI93" s="102"/>
      <c r="AJ93" s="102"/>
      <c r="AK93" s="102"/>
      <c r="AL93" s="54"/>
      <c r="AM93" s="102"/>
      <c r="AN93" s="104"/>
      <c r="AO93" s="16"/>
    </row>
    <row r="94" spans="1:41" x14ac:dyDescent="0.25">
      <c r="A94" s="86"/>
      <c r="B94" s="92"/>
      <c r="C94" s="99"/>
      <c r="D94" s="10"/>
      <c r="E94" s="10"/>
      <c r="F94" s="99"/>
      <c r="G94" s="10"/>
      <c r="H94" s="10"/>
      <c r="I94" s="100"/>
      <c r="J94" s="93"/>
      <c r="K94" s="92"/>
      <c r="L94" s="99"/>
      <c r="M94" s="10"/>
      <c r="N94" s="10"/>
      <c r="O94" s="99"/>
      <c r="P94" s="10"/>
      <c r="Q94" s="10"/>
      <c r="R94" s="100"/>
      <c r="S94" s="93"/>
      <c r="T94" s="100"/>
      <c r="U94" s="105" t="e">
        <f>VLOOKUP(T94,Species!$A$2:$D$2230,2,FALSE)</f>
        <v>#N/A</v>
      </c>
      <c r="V94" s="105" t="e">
        <f>VLOOKUP(T94,Species!$A$2:$D$2230,3,FALSE)</f>
        <v>#N/A</v>
      </c>
      <c r="W94" s="105" t="e">
        <f>VLOOKUP(T94,Species!$A$2:$D$2230,4,FALSE)</f>
        <v>#N/A</v>
      </c>
      <c r="X94" s="10"/>
      <c r="Y94" s="10"/>
      <c r="Z94" s="101"/>
      <c r="AA94" s="99"/>
      <c r="AB94" s="99"/>
      <c r="AC94" s="102"/>
      <c r="AD94" s="102"/>
      <c r="AE94" s="102"/>
      <c r="AF94" s="102"/>
      <c r="AG94" s="99"/>
      <c r="AH94" s="99"/>
      <c r="AI94" s="99"/>
      <c r="AJ94" s="99"/>
      <c r="AK94" s="99"/>
      <c r="AL94" s="10"/>
      <c r="AM94" s="99"/>
      <c r="AN94" s="103"/>
      <c r="AO94" s="16"/>
    </row>
    <row r="95" spans="1:41" x14ac:dyDescent="0.25">
      <c r="A95" s="86"/>
      <c r="B95" s="92"/>
      <c r="C95" s="99"/>
      <c r="D95" s="10"/>
      <c r="E95" s="10"/>
      <c r="F95" s="99"/>
      <c r="G95" s="10"/>
      <c r="H95" s="10"/>
      <c r="I95" s="100"/>
      <c r="J95" s="93"/>
      <c r="K95" s="92"/>
      <c r="L95" s="99"/>
      <c r="M95" s="10"/>
      <c r="N95" s="10"/>
      <c r="O95" s="99"/>
      <c r="P95" s="10"/>
      <c r="Q95" s="10"/>
      <c r="R95" s="100"/>
      <c r="S95" s="93"/>
      <c r="T95" s="100"/>
      <c r="U95" s="105" t="e">
        <f>VLOOKUP(T95,Species!$A$2:$D$2230,2,FALSE)</f>
        <v>#N/A</v>
      </c>
      <c r="V95" s="105" t="e">
        <f>VLOOKUP(T95,Species!$A$2:$D$2230,3,FALSE)</f>
        <v>#N/A</v>
      </c>
      <c r="W95" s="105" t="e">
        <f>VLOOKUP(T95,Species!$A$2:$D$2230,4,FALSE)</f>
        <v>#N/A</v>
      </c>
      <c r="X95" s="10"/>
      <c r="Y95" s="10"/>
      <c r="Z95" s="101"/>
      <c r="AA95" s="99"/>
      <c r="AB95" s="99"/>
      <c r="AC95" s="102"/>
      <c r="AD95" s="102"/>
      <c r="AE95" s="102"/>
      <c r="AF95" s="102"/>
      <c r="AG95" s="99"/>
      <c r="AH95" s="99"/>
      <c r="AI95" s="99"/>
      <c r="AJ95" s="99"/>
      <c r="AK95" s="99"/>
      <c r="AL95" s="10"/>
      <c r="AM95" s="99"/>
      <c r="AN95" s="103"/>
      <c r="AO95" s="16"/>
    </row>
    <row r="96" spans="1:41" x14ac:dyDescent="0.25">
      <c r="A96" s="86"/>
      <c r="B96" s="92"/>
      <c r="C96" s="99"/>
      <c r="D96" s="10"/>
      <c r="E96" s="10"/>
      <c r="F96" s="99"/>
      <c r="G96" s="10"/>
      <c r="H96" s="10"/>
      <c r="I96" s="100"/>
      <c r="J96" s="93"/>
      <c r="K96" s="92"/>
      <c r="L96" s="99"/>
      <c r="M96" s="10"/>
      <c r="N96" s="10"/>
      <c r="O96" s="99"/>
      <c r="P96" s="10"/>
      <c r="Q96" s="10"/>
      <c r="R96" s="100"/>
      <c r="S96" s="93"/>
      <c r="T96" s="100"/>
      <c r="U96" s="105" t="e">
        <f>VLOOKUP(T96,Species!$A$2:$D$2230,2,FALSE)</f>
        <v>#N/A</v>
      </c>
      <c r="V96" s="105" t="e">
        <f>VLOOKUP(T96,Species!$A$2:$D$2230,3,FALSE)</f>
        <v>#N/A</v>
      </c>
      <c r="W96" s="105" t="e">
        <f>VLOOKUP(T96,Species!$A$2:$D$2230,4,FALSE)</f>
        <v>#N/A</v>
      </c>
      <c r="X96" s="10"/>
      <c r="Y96" s="10"/>
      <c r="Z96" s="101"/>
      <c r="AA96" s="99"/>
      <c r="AB96" s="99"/>
      <c r="AC96" s="102"/>
      <c r="AD96" s="102"/>
      <c r="AE96" s="102"/>
      <c r="AF96" s="102"/>
      <c r="AG96" s="99"/>
      <c r="AH96" s="99"/>
      <c r="AI96" s="99"/>
      <c r="AJ96" s="99"/>
      <c r="AK96" s="99"/>
      <c r="AL96" s="10"/>
      <c r="AM96" s="99"/>
      <c r="AN96" s="103"/>
      <c r="AO96" s="16"/>
    </row>
    <row r="97" spans="1:41" x14ac:dyDescent="0.25">
      <c r="A97" s="86"/>
      <c r="B97" s="92"/>
      <c r="C97" s="99"/>
      <c r="D97" s="10"/>
      <c r="E97" s="10"/>
      <c r="F97" s="99"/>
      <c r="G97" s="10"/>
      <c r="H97" s="10"/>
      <c r="I97" s="100"/>
      <c r="J97" s="93"/>
      <c r="K97" s="92"/>
      <c r="L97" s="99"/>
      <c r="M97" s="10"/>
      <c r="N97" s="10"/>
      <c r="O97" s="99"/>
      <c r="P97" s="10"/>
      <c r="Q97" s="10"/>
      <c r="R97" s="100"/>
      <c r="S97" s="93"/>
      <c r="T97" s="100"/>
      <c r="U97" s="105" t="e">
        <f>VLOOKUP(T97,Species!$A$2:$D$2230,2,FALSE)</f>
        <v>#N/A</v>
      </c>
      <c r="V97" s="105" t="e">
        <f>VLOOKUP(T97,Species!$A$2:$D$2230,3,FALSE)</f>
        <v>#N/A</v>
      </c>
      <c r="W97" s="105" t="e">
        <f>VLOOKUP(T97,Species!$A$2:$D$2230,4,FALSE)</f>
        <v>#N/A</v>
      </c>
      <c r="X97" s="10"/>
      <c r="Y97" s="10"/>
      <c r="Z97" s="101"/>
      <c r="AA97" s="99"/>
      <c r="AB97" s="99"/>
      <c r="AC97" s="102"/>
      <c r="AD97" s="102"/>
      <c r="AE97" s="102"/>
      <c r="AF97" s="102"/>
      <c r="AG97" s="99"/>
      <c r="AH97" s="99"/>
      <c r="AI97" s="99"/>
      <c r="AJ97" s="99"/>
      <c r="AK97" s="99"/>
      <c r="AL97" s="10"/>
      <c r="AM97" s="99"/>
      <c r="AN97" s="103"/>
      <c r="AO97" s="16"/>
    </row>
    <row r="98" spans="1:41" x14ac:dyDescent="0.25">
      <c r="A98" s="86"/>
      <c r="B98" s="92"/>
      <c r="C98" s="99"/>
      <c r="D98" s="10"/>
      <c r="E98" s="10"/>
      <c r="F98" s="99"/>
      <c r="G98" s="10"/>
      <c r="H98" s="10"/>
      <c r="I98" s="100"/>
      <c r="J98" s="93"/>
      <c r="K98" s="92"/>
      <c r="L98" s="99"/>
      <c r="M98" s="10"/>
      <c r="N98" s="10"/>
      <c r="O98" s="99"/>
      <c r="P98" s="10"/>
      <c r="Q98" s="10"/>
      <c r="R98" s="100"/>
      <c r="S98" s="93"/>
      <c r="T98" s="100"/>
      <c r="U98" s="105" t="e">
        <f>VLOOKUP(T98,Species!$A$2:$D$2230,2,FALSE)</f>
        <v>#N/A</v>
      </c>
      <c r="V98" s="105" t="e">
        <f>VLOOKUP(T98,Species!$A$2:$D$2230,3,FALSE)</f>
        <v>#N/A</v>
      </c>
      <c r="W98" s="105" t="e">
        <f>VLOOKUP(T98,Species!$A$2:$D$2230,4,FALSE)</f>
        <v>#N/A</v>
      </c>
      <c r="X98" s="10"/>
      <c r="Y98" s="10"/>
      <c r="Z98" s="101"/>
      <c r="AA98" s="99"/>
      <c r="AB98" s="99"/>
      <c r="AC98" s="102"/>
      <c r="AD98" s="102"/>
      <c r="AE98" s="102"/>
      <c r="AF98" s="102"/>
      <c r="AG98" s="99"/>
      <c r="AH98" s="99"/>
      <c r="AI98" s="99"/>
      <c r="AJ98" s="99"/>
      <c r="AK98" s="99"/>
      <c r="AL98" s="10"/>
      <c r="AM98" s="99"/>
      <c r="AN98" s="103"/>
      <c r="AO98" s="16"/>
    </row>
    <row r="99" spans="1:41" x14ac:dyDescent="0.25">
      <c r="A99" s="86"/>
      <c r="B99" s="92"/>
      <c r="C99" s="99"/>
      <c r="D99" s="10"/>
      <c r="E99" s="10"/>
      <c r="F99" s="99"/>
      <c r="G99" s="10"/>
      <c r="H99" s="10"/>
      <c r="I99" s="100"/>
      <c r="J99" s="93"/>
      <c r="K99" s="92"/>
      <c r="L99" s="99"/>
      <c r="M99" s="10"/>
      <c r="N99" s="10"/>
      <c r="O99" s="99"/>
      <c r="P99" s="10"/>
      <c r="Q99" s="10"/>
      <c r="R99" s="100"/>
      <c r="S99" s="93"/>
      <c r="T99" s="100"/>
      <c r="U99" s="105" t="e">
        <f>VLOOKUP(T99,Species!$A$2:$D$2230,2,FALSE)</f>
        <v>#N/A</v>
      </c>
      <c r="V99" s="105" t="e">
        <f>VLOOKUP(T99,Species!$A$2:$D$2230,3,FALSE)</f>
        <v>#N/A</v>
      </c>
      <c r="W99" s="105" t="e">
        <f>VLOOKUP(T99,Species!$A$2:$D$2230,4,FALSE)</f>
        <v>#N/A</v>
      </c>
      <c r="X99" s="10"/>
      <c r="Y99" s="10"/>
      <c r="Z99" s="101"/>
      <c r="AA99" s="99"/>
      <c r="AB99" s="99"/>
      <c r="AC99" s="102"/>
      <c r="AD99" s="102"/>
      <c r="AE99" s="102"/>
      <c r="AF99" s="102"/>
      <c r="AG99" s="99"/>
      <c r="AH99" s="99"/>
      <c r="AI99" s="99"/>
      <c r="AJ99" s="99"/>
      <c r="AK99" s="99"/>
      <c r="AL99" s="10"/>
      <c r="AM99" s="99"/>
      <c r="AN99" s="103"/>
      <c r="AO99" s="16"/>
    </row>
    <row r="100" spans="1:41" x14ac:dyDescent="0.25">
      <c r="A100" s="86"/>
      <c r="B100" s="92"/>
      <c r="C100" s="99"/>
      <c r="D100" s="10"/>
      <c r="E100" s="10"/>
      <c r="F100" s="99"/>
      <c r="G100" s="10"/>
      <c r="H100" s="10"/>
      <c r="I100" s="100"/>
      <c r="J100" s="93"/>
      <c r="K100" s="92"/>
      <c r="L100" s="99"/>
      <c r="M100" s="10"/>
      <c r="N100" s="10"/>
      <c r="O100" s="99"/>
      <c r="P100" s="10"/>
      <c r="Q100" s="10"/>
      <c r="R100" s="100"/>
      <c r="S100" s="93"/>
      <c r="T100" s="100"/>
      <c r="U100" s="105" t="e">
        <f>VLOOKUP(T100,Species!$A$2:$D$2230,2,FALSE)</f>
        <v>#N/A</v>
      </c>
      <c r="V100" s="105" t="e">
        <f>VLOOKUP(T100,Species!$A$2:$D$2230,3,FALSE)</f>
        <v>#N/A</v>
      </c>
      <c r="W100" s="105" t="e">
        <f>VLOOKUP(T100,Species!$A$2:$D$2230,4,FALSE)</f>
        <v>#N/A</v>
      </c>
      <c r="X100" s="10"/>
      <c r="Y100" s="10"/>
      <c r="Z100" s="101"/>
      <c r="AA100" s="99"/>
      <c r="AB100" s="99"/>
      <c r="AC100" s="102"/>
      <c r="AD100" s="102"/>
      <c r="AE100" s="102"/>
      <c r="AF100" s="102"/>
      <c r="AG100" s="99"/>
      <c r="AH100" s="99"/>
      <c r="AI100" s="99"/>
      <c r="AJ100" s="99"/>
      <c r="AK100" s="99"/>
      <c r="AL100" s="10"/>
      <c r="AM100" s="99"/>
      <c r="AN100" s="103"/>
      <c r="AO100" s="16"/>
    </row>
    <row r="101" spans="1:41" x14ac:dyDescent="0.25">
      <c r="A101" s="86"/>
      <c r="B101" s="92"/>
      <c r="C101" s="99"/>
      <c r="D101" s="10"/>
      <c r="E101" s="10"/>
      <c r="F101" s="99"/>
      <c r="G101" s="10"/>
      <c r="H101" s="10"/>
      <c r="I101" s="100"/>
      <c r="J101" s="93"/>
      <c r="K101" s="92"/>
      <c r="L101" s="99"/>
      <c r="M101" s="10"/>
      <c r="N101" s="10"/>
      <c r="O101" s="99"/>
      <c r="P101" s="10"/>
      <c r="Q101" s="10"/>
      <c r="R101" s="100"/>
      <c r="S101" s="93"/>
      <c r="T101" s="100"/>
      <c r="U101" s="105" t="e">
        <f>VLOOKUP(T101,Species!$A$2:$D$2230,2,FALSE)</f>
        <v>#N/A</v>
      </c>
      <c r="V101" s="105" t="e">
        <f>VLOOKUP(T101,Species!$A$2:$D$2230,3,FALSE)</f>
        <v>#N/A</v>
      </c>
      <c r="W101" s="105" t="e">
        <f>VLOOKUP(T101,Species!$A$2:$D$2230,4,FALSE)</f>
        <v>#N/A</v>
      </c>
      <c r="X101" s="10"/>
      <c r="Y101" s="10"/>
      <c r="Z101" s="101"/>
      <c r="AA101" s="99"/>
      <c r="AB101" s="99"/>
      <c r="AC101" s="102"/>
      <c r="AD101" s="102"/>
      <c r="AE101" s="102"/>
      <c r="AF101" s="102"/>
      <c r="AG101" s="99"/>
      <c r="AH101" s="99"/>
      <c r="AI101" s="99"/>
      <c r="AJ101" s="99"/>
      <c r="AK101" s="99"/>
      <c r="AL101" s="10"/>
      <c r="AM101" s="99"/>
      <c r="AN101" s="103"/>
      <c r="AO101" s="16"/>
    </row>
    <row r="102" spans="1:41" x14ac:dyDescent="0.25">
      <c r="A102" s="87"/>
      <c r="B102" s="94"/>
      <c r="C102" s="99"/>
      <c r="D102" s="54"/>
      <c r="E102" s="54"/>
      <c r="F102" s="99"/>
      <c r="G102" s="54"/>
      <c r="H102" s="54"/>
      <c r="I102" s="100"/>
      <c r="J102" s="95"/>
      <c r="K102" s="94"/>
      <c r="L102" s="99"/>
      <c r="M102" s="54"/>
      <c r="N102" s="54"/>
      <c r="O102" s="99"/>
      <c r="P102" s="54"/>
      <c r="Q102" s="54"/>
      <c r="R102" s="100"/>
      <c r="S102" s="95"/>
      <c r="T102" s="100"/>
      <c r="U102" s="105" t="e">
        <f>VLOOKUP(T102,Species!$A$2:$D$2230,2,FALSE)</f>
        <v>#N/A</v>
      </c>
      <c r="V102" s="105" t="e">
        <f>VLOOKUP(T102,Species!$A$2:$D$2230,3,FALSE)</f>
        <v>#N/A</v>
      </c>
      <c r="W102" s="105" t="e">
        <f>VLOOKUP(T102,Species!$A$2:$D$2230,4,FALSE)</f>
        <v>#N/A</v>
      </c>
      <c r="X102" s="54"/>
      <c r="Y102" s="54"/>
      <c r="Z102" s="101"/>
      <c r="AA102" s="99"/>
      <c r="AB102" s="99"/>
      <c r="AC102" s="102"/>
      <c r="AD102" s="102"/>
      <c r="AE102" s="102"/>
      <c r="AF102" s="102"/>
      <c r="AG102" s="102"/>
      <c r="AH102" s="102"/>
      <c r="AI102" s="102"/>
      <c r="AJ102" s="102"/>
      <c r="AK102" s="102"/>
      <c r="AL102" s="54"/>
      <c r="AM102" s="102"/>
      <c r="AN102" s="104"/>
      <c r="AO102" s="16"/>
    </row>
    <row r="103" spans="1:41" x14ac:dyDescent="0.25">
      <c r="A103" s="86"/>
      <c r="B103" s="92"/>
      <c r="C103" s="99"/>
      <c r="D103" s="10"/>
      <c r="E103" s="10"/>
      <c r="F103" s="99"/>
      <c r="G103" s="10"/>
      <c r="H103" s="10"/>
      <c r="I103" s="100"/>
      <c r="J103" s="93"/>
      <c r="K103" s="92"/>
      <c r="L103" s="99"/>
      <c r="M103" s="10"/>
      <c r="N103" s="10"/>
      <c r="O103" s="99"/>
      <c r="P103" s="10"/>
      <c r="Q103" s="10"/>
      <c r="R103" s="100"/>
      <c r="S103" s="93"/>
      <c r="T103" s="100"/>
      <c r="U103" s="105" t="e">
        <f>VLOOKUP(T103,Species!$A$2:$D$2230,2,FALSE)</f>
        <v>#N/A</v>
      </c>
      <c r="V103" s="105" t="e">
        <f>VLOOKUP(T103,Species!$A$2:$D$2230,3,FALSE)</f>
        <v>#N/A</v>
      </c>
      <c r="W103" s="105" t="e">
        <f>VLOOKUP(T103,Species!$A$2:$D$2230,4,FALSE)</f>
        <v>#N/A</v>
      </c>
      <c r="X103" s="10"/>
      <c r="Y103" s="10"/>
      <c r="Z103" s="101"/>
      <c r="AA103" s="99"/>
      <c r="AB103" s="99"/>
      <c r="AC103" s="102"/>
      <c r="AD103" s="102"/>
      <c r="AE103" s="102"/>
      <c r="AF103" s="102"/>
      <c r="AG103" s="99"/>
      <c r="AH103" s="99"/>
      <c r="AI103" s="99"/>
      <c r="AJ103" s="99"/>
      <c r="AK103" s="99"/>
      <c r="AL103" s="10"/>
      <c r="AM103" s="99"/>
      <c r="AN103" s="103"/>
      <c r="AO103" s="16"/>
    </row>
    <row r="104" spans="1:41" x14ac:dyDescent="0.25">
      <c r="A104" s="86"/>
      <c r="B104" s="92"/>
      <c r="C104" s="99"/>
      <c r="D104" s="10"/>
      <c r="E104" s="10"/>
      <c r="F104" s="99"/>
      <c r="G104" s="10"/>
      <c r="H104" s="10"/>
      <c r="I104" s="100"/>
      <c r="J104" s="93"/>
      <c r="K104" s="92"/>
      <c r="L104" s="99"/>
      <c r="M104" s="10"/>
      <c r="N104" s="10"/>
      <c r="O104" s="99"/>
      <c r="P104" s="10"/>
      <c r="Q104" s="10"/>
      <c r="R104" s="100"/>
      <c r="S104" s="93"/>
      <c r="T104" s="100"/>
      <c r="U104" s="105" t="e">
        <f>VLOOKUP(T104,Species!$A$2:$D$2230,2,FALSE)</f>
        <v>#N/A</v>
      </c>
      <c r="V104" s="105" t="e">
        <f>VLOOKUP(T104,Species!$A$2:$D$2230,3,FALSE)</f>
        <v>#N/A</v>
      </c>
      <c r="W104" s="105" t="e">
        <f>VLOOKUP(T104,Species!$A$2:$D$2230,4,FALSE)</f>
        <v>#N/A</v>
      </c>
      <c r="X104" s="10"/>
      <c r="Y104" s="10"/>
      <c r="Z104" s="101"/>
      <c r="AA104" s="99"/>
      <c r="AB104" s="99"/>
      <c r="AC104" s="102"/>
      <c r="AD104" s="102"/>
      <c r="AE104" s="102"/>
      <c r="AF104" s="102"/>
      <c r="AG104" s="99"/>
      <c r="AH104" s="99"/>
      <c r="AI104" s="99"/>
      <c r="AJ104" s="99"/>
      <c r="AK104" s="99"/>
      <c r="AL104" s="10"/>
      <c r="AM104" s="99"/>
      <c r="AN104" s="103"/>
      <c r="AO104" s="16"/>
    </row>
    <row r="105" spans="1:41" x14ac:dyDescent="0.25">
      <c r="A105" s="86"/>
      <c r="B105" s="92"/>
      <c r="C105" s="99"/>
      <c r="D105" s="10"/>
      <c r="E105" s="10"/>
      <c r="F105" s="99"/>
      <c r="G105" s="10"/>
      <c r="H105" s="10"/>
      <c r="I105" s="100"/>
      <c r="J105" s="93"/>
      <c r="K105" s="92"/>
      <c r="L105" s="99"/>
      <c r="M105" s="10"/>
      <c r="N105" s="10"/>
      <c r="O105" s="99"/>
      <c r="P105" s="10"/>
      <c r="Q105" s="10"/>
      <c r="R105" s="100"/>
      <c r="S105" s="93"/>
      <c r="T105" s="100"/>
      <c r="U105" s="105" t="e">
        <f>VLOOKUP(T105,Species!$A$2:$D$2230,2,FALSE)</f>
        <v>#N/A</v>
      </c>
      <c r="V105" s="105" t="e">
        <f>VLOOKUP(T105,Species!$A$2:$D$2230,3,FALSE)</f>
        <v>#N/A</v>
      </c>
      <c r="W105" s="105" t="e">
        <f>VLOOKUP(T105,Species!$A$2:$D$2230,4,FALSE)</f>
        <v>#N/A</v>
      </c>
      <c r="X105" s="10"/>
      <c r="Y105" s="10"/>
      <c r="Z105" s="101"/>
      <c r="AA105" s="99"/>
      <c r="AB105" s="99"/>
      <c r="AC105" s="102"/>
      <c r="AD105" s="102"/>
      <c r="AE105" s="102"/>
      <c r="AF105" s="102"/>
      <c r="AG105" s="99"/>
      <c r="AH105" s="99"/>
      <c r="AI105" s="99"/>
      <c r="AJ105" s="99"/>
      <c r="AK105" s="99"/>
      <c r="AL105" s="10"/>
      <c r="AM105" s="99"/>
      <c r="AN105" s="103"/>
      <c r="AO105" s="16"/>
    </row>
    <row r="106" spans="1:41" x14ac:dyDescent="0.25">
      <c r="A106" s="86"/>
      <c r="B106" s="92"/>
      <c r="C106" s="99"/>
      <c r="D106" s="10"/>
      <c r="E106" s="10"/>
      <c r="F106" s="99"/>
      <c r="G106" s="10"/>
      <c r="H106" s="10"/>
      <c r="I106" s="100"/>
      <c r="J106" s="93"/>
      <c r="K106" s="92"/>
      <c r="L106" s="99"/>
      <c r="M106" s="10"/>
      <c r="N106" s="10"/>
      <c r="O106" s="99"/>
      <c r="P106" s="10"/>
      <c r="Q106" s="10"/>
      <c r="R106" s="100"/>
      <c r="S106" s="93"/>
      <c r="T106" s="100"/>
      <c r="U106" s="105" t="e">
        <f>VLOOKUP(T106,Species!$A$2:$D$2230,2,FALSE)</f>
        <v>#N/A</v>
      </c>
      <c r="V106" s="105" t="e">
        <f>VLOOKUP(T106,Species!$A$2:$D$2230,3,FALSE)</f>
        <v>#N/A</v>
      </c>
      <c r="W106" s="105" t="e">
        <f>VLOOKUP(T106,Species!$A$2:$D$2230,4,FALSE)</f>
        <v>#N/A</v>
      </c>
      <c r="X106" s="10"/>
      <c r="Y106" s="10"/>
      <c r="Z106" s="101"/>
      <c r="AA106" s="99"/>
      <c r="AB106" s="99"/>
      <c r="AC106" s="102"/>
      <c r="AD106" s="102"/>
      <c r="AE106" s="102"/>
      <c r="AF106" s="102"/>
      <c r="AG106" s="99"/>
      <c r="AH106" s="99"/>
      <c r="AI106" s="99"/>
      <c r="AJ106" s="99"/>
      <c r="AK106" s="99"/>
      <c r="AL106" s="10"/>
      <c r="AM106" s="99"/>
      <c r="AN106" s="103"/>
      <c r="AO106" s="16"/>
    </row>
    <row r="107" spans="1:41" x14ac:dyDescent="0.25">
      <c r="A107" s="86"/>
      <c r="B107" s="92"/>
      <c r="C107" s="99"/>
      <c r="D107" s="10"/>
      <c r="E107" s="10"/>
      <c r="F107" s="99"/>
      <c r="G107" s="10"/>
      <c r="H107" s="10"/>
      <c r="I107" s="100"/>
      <c r="J107" s="93"/>
      <c r="K107" s="92"/>
      <c r="L107" s="99"/>
      <c r="M107" s="10"/>
      <c r="N107" s="10"/>
      <c r="O107" s="99"/>
      <c r="P107" s="10"/>
      <c r="Q107" s="10"/>
      <c r="R107" s="100"/>
      <c r="S107" s="93"/>
      <c r="T107" s="100"/>
      <c r="U107" s="105" t="e">
        <f>VLOOKUP(T107,Species!$A$2:$D$2230,2,FALSE)</f>
        <v>#N/A</v>
      </c>
      <c r="V107" s="105" t="e">
        <f>VLOOKUP(T107,Species!$A$2:$D$2230,3,FALSE)</f>
        <v>#N/A</v>
      </c>
      <c r="W107" s="105" t="e">
        <f>VLOOKUP(T107,Species!$A$2:$D$2230,4,FALSE)</f>
        <v>#N/A</v>
      </c>
      <c r="X107" s="10"/>
      <c r="Y107" s="10"/>
      <c r="Z107" s="101"/>
      <c r="AA107" s="99"/>
      <c r="AB107" s="99"/>
      <c r="AC107" s="102"/>
      <c r="AD107" s="102"/>
      <c r="AE107" s="102"/>
      <c r="AF107" s="102"/>
      <c r="AG107" s="99"/>
      <c r="AH107" s="99"/>
      <c r="AI107" s="99"/>
      <c r="AJ107" s="99"/>
      <c r="AK107" s="99"/>
      <c r="AL107" s="10"/>
      <c r="AM107" s="99"/>
      <c r="AN107" s="103"/>
      <c r="AO107" s="16"/>
    </row>
    <row r="108" spans="1:41" x14ac:dyDescent="0.25">
      <c r="A108" s="86"/>
      <c r="B108" s="92"/>
      <c r="C108" s="99"/>
      <c r="D108" s="10"/>
      <c r="E108" s="10"/>
      <c r="F108" s="99"/>
      <c r="G108" s="10"/>
      <c r="H108" s="10"/>
      <c r="I108" s="100"/>
      <c r="J108" s="93"/>
      <c r="K108" s="92"/>
      <c r="L108" s="99"/>
      <c r="M108" s="10"/>
      <c r="N108" s="10"/>
      <c r="O108" s="99"/>
      <c r="P108" s="10"/>
      <c r="Q108" s="10"/>
      <c r="R108" s="100"/>
      <c r="S108" s="93"/>
      <c r="T108" s="100"/>
      <c r="U108" s="105" t="e">
        <f>VLOOKUP(T108,Species!$A$2:$D$2230,2,FALSE)</f>
        <v>#N/A</v>
      </c>
      <c r="V108" s="105" t="e">
        <f>VLOOKUP(T108,Species!$A$2:$D$2230,3,FALSE)</f>
        <v>#N/A</v>
      </c>
      <c r="W108" s="105" t="e">
        <f>VLOOKUP(T108,Species!$A$2:$D$2230,4,FALSE)</f>
        <v>#N/A</v>
      </c>
      <c r="X108" s="10"/>
      <c r="Y108" s="10"/>
      <c r="Z108" s="101"/>
      <c r="AA108" s="99"/>
      <c r="AB108" s="99"/>
      <c r="AC108" s="102"/>
      <c r="AD108" s="102"/>
      <c r="AE108" s="102"/>
      <c r="AF108" s="102"/>
      <c r="AG108" s="99"/>
      <c r="AH108" s="99"/>
      <c r="AI108" s="99"/>
      <c r="AJ108" s="99"/>
      <c r="AK108" s="99"/>
      <c r="AL108" s="10"/>
      <c r="AM108" s="99"/>
      <c r="AN108" s="103"/>
      <c r="AO108" s="16"/>
    </row>
    <row r="109" spans="1:41" x14ac:dyDescent="0.25">
      <c r="A109" s="86"/>
      <c r="B109" s="92"/>
      <c r="C109" s="99"/>
      <c r="D109" s="10"/>
      <c r="E109" s="10"/>
      <c r="F109" s="99"/>
      <c r="G109" s="10"/>
      <c r="H109" s="10"/>
      <c r="I109" s="100"/>
      <c r="J109" s="93"/>
      <c r="K109" s="92"/>
      <c r="L109" s="99"/>
      <c r="M109" s="10"/>
      <c r="N109" s="10"/>
      <c r="O109" s="99"/>
      <c r="P109" s="10"/>
      <c r="Q109" s="10"/>
      <c r="R109" s="100"/>
      <c r="S109" s="93"/>
      <c r="T109" s="100"/>
      <c r="U109" s="105" t="e">
        <f>VLOOKUP(T109,Species!$A$2:$D$2230,2,FALSE)</f>
        <v>#N/A</v>
      </c>
      <c r="V109" s="105" t="e">
        <f>VLOOKUP(T109,Species!$A$2:$D$2230,3,FALSE)</f>
        <v>#N/A</v>
      </c>
      <c r="W109" s="105" t="e">
        <f>VLOOKUP(T109,Species!$A$2:$D$2230,4,FALSE)</f>
        <v>#N/A</v>
      </c>
      <c r="X109" s="10"/>
      <c r="Y109" s="10"/>
      <c r="Z109" s="101"/>
      <c r="AA109" s="99"/>
      <c r="AB109" s="99"/>
      <c r="AC109" s="102"/>
      <c r="AD109" s="102"/>
      <c r="AE109" s="102"/>
      <c r="AF109" s="102"/>
      <c r="AG109" s="99"/>
      <c r="AH109" s="99"/>
      <c r="AI109" s="99"/>
      <c r="AJ109" s="99"/>
      <c r="AK109" s="99"/>
      <c r="AL109" s="10"/>
      <c r="AM109" s="99"/>
      <c r="AN109" s="103"/>
      <c r="AO109" s="16"/>
    </row>
    <row r="110" spans="1:41" x14ac:dyDescent="0.25">
      <c r="A110" s="86"/>
      <c r="B110" s="92"/>
      <c r="C110" s="99"/>
      <c r="D110" s="10"/>
      <c r="E110" s="10"/>
      <c r="F110" s="99"/>
      <c r="G110" s="10"/>
      <c r="H110" s="10"/>
      <c r="I110" s="100"/>
      <c r="J110" s="93"/>
      <c r="K110" s="92"/>
      <c r="L110" s="99"/>
      <c r="M110" s="10"/>
      <c r="N110" s="10"/>
      <c r="O110" s="99"/>
      <c r="P110" s="10"/>
      <c r="Q110" s="10"/>
      <c r="R110" s="100"/>
      <c r="S110" s="93"/>
      <c r="T110" s="100"/>
      <c r="U110" s="105" t="e">
        <f>VLOOKUP(T110,Species!$A$2:$D$2230,2,FALSE)</f>
        <v>#N/A</v>
      </c>
      <c r="V110" s="105" t="e">
        <f>VLOOKUP(T110,Species!$A$2:$D$2230,3,FALSE)</f>
        <v>#N/A</v>
      </c>
      <c r="W110" s="105" t="e">
        <f>VLOOKUP(T110,Species!$A$2:$D$2230,4,FALSE)</f>
        <v>#N/A</v>
      </c>
      <c r="X110" s="10"/>
      <c r="Y110" s="10"/>
      <c r="Z110" s="101"/>
      <c r="AA110" s="99"/>
      <c r="AB110" s="99"/>
      <c r="AC110" s="102"/>
      <c r="AD110" s="102"/>
      <c r="AE110" s="102"/>
      <c r="AF110" s="102"/>
      <c r="AG110" s="99"/>
      <c r="AH110" s="99"/>
      <c r="AI110" s="99"/>
      <c r="AJ110" s="99"/>
      <c r="AK110" s="99"/>
      <c r="AL110" s="10"/>
      <c r="AM110" s="99"/>
      <c r="AN110" s="103"/>
      <c r="AO110" s="16"/>
    </row>
    <row r="111" spans="1:41" x14ac:dyDescent="0.25">
      <c r="A111" s="87"/>
      <c r="B111" s="94"/>
      <c r="C111" s="99"/>
      <c r="D111" s="54"/>
      <c r="E111" s="54"/>
      <c r="F111" s="99"/>
      <c r="G111" s="54"/>
      <c r="H111" s="54"/>
      <c r="I111" s="100"/>
      <c r="J111" s="95"/>
      <c r="K111" s="94"/>
      <c r="L111" s="99"/>
      <c r="M111" s="54"/>
      <c r="N111" s="54"/>
      <c r="O111" s="99"/>
      <c r="P111" s="54"/>
      <c r="Q111" s="54"/>
      <c r="R111" s="100"/>
      <c r="S111" s="95"/>
      <c r="T111" s="100"/>
      <c r="U111" s="105" t="e">
        <f>VLOOKUP(T111,Species!$A$2:$D$2230,2,FALSE)</f>
        <v>#N/A</v>
      </c>
      <c r="V111" s="105" t="e">
        <f>VLOOKUP(T111,Species!$A$2:$D$2230,3,FALSE)</f>
        <v>#N/A</v>
      </c>
      <c r="W111" s="105" t="e">
        <f>VLOOKUP(T111,Species!$A$2:$D$2230,4,FALSE)</f>
        <v>#N/A</v>
      </c>
      <c r="X111" s="54"/>
      <c r="Y111" s="54"/>
      <c r="Z111" s="101"/>
      <c r="AA111" s="99"/>
      <c r="AB111" s="99"/>
      <c r="AC111" s="102"/>
      <c r="AD111" s="102"/>
      <c r="AE111" s="102"/>
      <c r="AF111" s="102"/>
      <c r="AG111" s="102"/>
      <c r="AH111" s="102"/>
      <c r="AI111" s="102"/>
      <c r="AJ111" s="102"/>
      <c r="AK111" s="102"/>
      <c r="AL111" s="54"/>
      <c r="AM111" s="102"/>
      <c r="AN111" s="104"/>
      <c r="AO111" s="16"/>
    </row>
    <row r="112" spans="1:41" x14ac:dyDescent="0.25">
      <c r="A112" s="86"/>
      <c r="B112" s="92"/>
      <c r="C112" s="99"/>
      <c r="D112" s="10"/>
      <c r="E112" s="10"/>
      <c r="F112" s="99"/>
      <c r="G112" s="10"/>
      <c r="H112" s="10"/>
      <c r="I112" s="100"/>
      <c r="J112" s="93"/>
      <c r="K112" s="92"/>
      <c r="L112" s="99"/>
      <c r="M112" s="10"/>
      <c r="N112" s="10"/>
      <c r="O112" s="99"/>
      <c r="P112" s="10"/>
      <c r="Q112" s="10"/>
      <c r="R112" s="100"/>
      <c r="S112" s="93"/>
      <c r="T112" s="100"/>
      <c r="U112" s="105" t="e">
        <f>VLOOKUP(T112,Species!$A$2:$D$2230,2,FALSE)</f>
        <v>#N/A</v>
      </c>
      <c r="V112" s="105" t="e">
        <f>VLOOKUP(T112,Species!$A$2:$D$2230,3,FALSE)</f>
        <v>#N/A</v>
      </c>
      <c r="W112" s="105" t="e">
        <f>VLOOKUP(T112,Species!$A$2:$D$2230,4,FALSE)</f>
        <v>#N/A</v>
      </c>
      <c r="X112" s="10"/>
      <c r="Y112" s="10"/>
      <c r="Z112" s="101"/>
      <c r="AA112" s="99"/>
      <c r="AB112" s="99"/>
      <c r="AC112" s="102"/>
      <c r="AD112" s="102"/>
      <c r="AE112" s="102"/>
      <c r="AF112" s="102"/>
      <c r="AG112" s="99"/>
      <c r="AH112" s="99"/>
      <c r="AI112" s="99"/>
      <c r="AJ112" s="99"/>
      <c r="AK112" s="99"/>
      <c r="AL112" s="10"/>
      <c r="AM112" s="99"/>
      <c r="AN112" s="103"/>
      <c r="AO112" s="16"/>
    </row>
    <row r="113" spans="1:41" x14ac:dyDescent="0.25">
      <c r="A113" s="86"/>
      <c r="B113" s="92"/>
      <c r="C113" s="99"/>
      <c r="D113" s="10"/>
      <c r="E113" s="10"/>
      <c r="F113" s="99"/>
      <c r="G113" s="10"/>
      <c r="H113" s="10"/>
      <c r="I113" s="100"/>
      <c r="J113" s="93"/>
      <c r="K113" s="92"/>
      <c r="L113" s="99"/>
      <c r="M113" s="10"/>
      <c r="N113" s="10"/>
      <c r="O113" s="99"/>
      <c r="P113" s="10"/>
      <c r="Q113" s="10"/>
      <c r="R113" s="100"/>
      <c r="S113" s="93"/>
      <c r="T113" s="100"/>
      <c r="U113" s="105" t="e">
        <f>VLOOKUP(T113,Species!$A$2:$D$2230,2,FALSE)</f>
        <v>#N/A</v>
      </c>
      <c r="V113" s="105" t="e">
        <f>VLOOKUP(T113,Species!$A$2:$D$2230,3,FALSE)</f>
        <v>#N/A</v>
      </c>
      <c r="W113" s="105" t="e">
        <f>VLOOKUP(T113,Species!$A$2:$D$2230,4,FALSE)</f>
        <v>#N/A</v>
      </c>
      <c r="X113" s="10"/>
      <c r="Y113" s="10"/>
      <c r="Z113" s="101"/>
      <c r="AA113" s="99"/>
      <c r="AB113" s="99"/>
      <c r="AC113" s="102"/>
      <c r="AD113" s="102"/>
      <c r="AE113" s="102"/>
      <c r="AF113" s="102"/>
      <c r="AG113" s="99"/>
      <c r="AH113" s="99"/>
      <c r="AI113" s="99"/>
      <c r="AJ113" s="99"/>
      <c r="AK113" s="99"/>
      <c r="AL113" s="10"/>
      <c r="AM113" s="99"/>
      <c r="AN113" s="103"/>
      <c r="AO113" s="16"/>
    </row>
    <row r="114" spans="1:41" x14ac:dyDescent="0.25">
      <c r="A114" s="86"/>
      <c r="B114" s="92"/>
      <c r="C114" s="99"/>
      <c r="D114" s="10"/>
      <c r="E114" s="10"/>
      <c r="F114" s="99"/>
      <c r="G114" s="10"/>
      <c r="H114" s="10"/>
      <c r="I114" s="100"/>
      <c r="J114" s="93"/>
      <c r="K114" s="92"/>
      <c r="L114" s="99"/>
      <c r="M114" s="10"/>
      <c r="N114" s="10"/>
      <c r="O114" s="99"/>
      <c r="P114" s="10"/>
      <c r="Q114" s="10"/>
      <c r="R114" s="100"/>
      <c r="S114" s="93"/>
      <c r="T114" s="100"/>
      <c r="U114" s="105" t="e">
        <f>VLOOKUP(T114,Species!$A$2:$D$2230,2,FALSE)</f>
        <v>#N/A</v>
      </c>
      <c r="V114" s="105" t="e">
        <f>VLOOKUP(T114,Species!$A$2:$D$2230,3,FALSE)</f>
        <v>#N/A</v>
      </c>
      <c r="W114" s="105" t="e">
        <f>VLOOKUP(T114,Species!$A$2:$D$2230,4,FALSE)</f>
        <v>#N/A</v>
      </c>
      <c r="X114" s="10"/>
      <c r="Y114" s="10"/>
      <c r="Z114" s="101"/>
      <c r="AA114" s="99"/>
      <c r="AB114" s="99"/>
      <c r="AC114" s="102"/>
      <c r="AD114" s="102"/>
      <c r="AE114" s="102"/>
      <c r="AF114" s="102"/>
      <c r="AG114" s="99"/>
      <c r="AH114" s="99"/>
      <c r="AI114" s="99"/>
      <c r="AJ114" s="99"/>
      <c r="AK114" s="99"/>
      <c r="AL114" s="10"/>
      <c r="AM114" s="99"/>
      <c r="AN114" s="103"/>
      <c r="AO114" s="16"/>
    </row>
    <row r="115" spans="1:41" x14ac:dyDescent="0.25">
      <c r="A115" s="86"/>
      <c r="B115" s="92"/>
      <c r="C115" s="99"/>
      <c r="D115" s="10"/>
      <c r="E115" s="10"/>
      <c r="F115" s="99"/>
      <c r="G115" s="10"/>
      <c r="H115" s="10"/>
      <c r="I115" s="100"/>
      <c r="J115" s="93"/>
      <c r="K115" s="92"/>
      <c r="L115" s="99"/>
      <c r="M115" s="10"/>
      <c r="N115" s="10"/>
      <c r="O115" s="99"/>
      <c r="P115" s="10"/>
      <c r="Q115" s="10"/>
      <c r="R115" s="100"/>
      <c r="S115" s="93"/>
      <c r="T115" s="100"/>
      <c r="U115" s="105" t="e">
        <f>VLOOKUP(T115,Species!$A$2:$D$2230,2,FALSE)</f>
        <v>#N/A</v>
      </c>
      <c r="V115" s="105" t="e">
        <f>VLOOKUP(T115,Species!$A$2:$D$2230,3,FALSE)</f>
        <v>#N/A</v>
      </c>
      <c r="W115" s="105" t="e">
        <f>VLOOKUP(T115,Species!$A$2:$D$2230,4,FALSE)</f>
        <v>#N/A</v>
      </c>
      <c r="X115" s="10"/>
      <c r="Y115" s="10"/>
      <c r="Z115" s="101"/>
      <c r="AA115" s="99"/>
      <c r="AB115" s="99"/>
      <c r="AC115" s="102"/>
      <c r="AD115" s="102"/>
      <c r="AE115" s="102"/>
      <c r="AF115" s="102"/>
      <c r="AG115" s="99"/>
      <c r="AH115" s="99"/>
      <c r="AI115" s="99"/>
      <c r="AJ115" s="99"/>
      <c r="AK115" s="99"/>
      <c r="AL115" s="10"/>
      <c r="AM115" s="99"/>
      <c r="AN115" s="103"/>
      <c r="AO115" s="16"/>
    </row>
    <row r="116" spans="1:41" x14ac:dyDescent="0.25">
      <c r="A116" s="86"/>
      <c r="B116" s="92"/>
      <c r="C116" s="99"/>
      <c r="D116" s="10"/>
      <c r="E116" s="10"/>
      <c r="F116" s="99"/>
      <c r="G116" s="10"/>
      <c r="H116" s="10"/>
      <c r="I116" s="100"/>
      <c r="J116" s="93"/>
      <c r="K116" s="92"/>
      <c r="L116" s="99"/>
      <c r="M116" s="10"/>
      <c r="N116" s="10"/>
      <c r="O116" s="99"/>
      <c r="P116" s="10"/>
      <c r="Q116" s="10"/>
      <c r="R116" s="100"/>
      <c r="S116" s="93"/>
      <c r="T116" s="100"/>
      <c r="U116" s="105" t="e">
        <f>VLOOKUP(T116,Species!$A$2:$D$2230,2,FALSE)</f>
        <v>#N/A</v>
      </c>
      <c r="V116" s="105" t="e">
        <f>VLOOKUP(T116,Species!$A$2:$D$2230,3,FALSE)</f>
        <v>#N/A</v>
      </c>
      <c r="W116" s="105" t="e">
        <f>VLOOKUP(T116,Species!$A$2:$D$2230,4,FALSE)</f>
        <v>#N/A</v>
      </c>
      <c r="X116" s="10"/>
      <c r="Y116" s="10"/>
      <c r="Z116" s="101"/>
      <c r="AA116" s="99"/>
      <c r="AB116" s="99"/>
      <c r="AC116" s="102"/>
      <c r="AD116" s="102"/>
      <c r="AE116" s="102"/>
      <c r="AF116" s="102"/>
      <c r="AG116" s="99"/>
      <c r="AH116" s="99"/>
      <c r="AI116" s="99"/>
      <c r="AJ116" s="99"/>
      <c r="AK116" s="99"/>
      <c r="AL116" s="10"/>
      <c r="AM116" s="99"/>
      <c r="AN116" s="103"/>
      <c r="AO116" s="16"/>
    </row>
    <row r="117" spans="1:41" x14ac:dyDescent="0.25">
      <c r="A117" s="86"/>
      <c r="B117" s="92"/>
      <c r="C117" s="99"/>
      <c r="D117" s="10"/>
      <c r="E117" s="10"/>
      <c r="F117" s="99"/>
      <c r="G117" s="10"/>
      <c r="H117" s="10"/>
      <c r="I117" s="100"/>
      <c r="J117" s="93"/>
      <c r="K117" s="92"/>
      <c r="L117" s="99"/>
      <c r="M117" s="10"/>
      <c r="N117" s="10"/>
      <c r="O117" s="99"/>
      <c r="P117" s="10"/>
      <c r="Q117" s="10"/>
      <c r="R117" s="100"/>
      <c r="S117" s="93"/>
      <c r="T117" s="100"/>
      <c r="U117" s="105" t="e">
        <f>VLOOKUP(T117,Species!$A$2:$D$2230,2,FALSE)</f>
        <v>#N/A</v>
      </c>
      <c r="V117" s="105" t="e">
        <f>VLOOKUP(T117,Species!$A$2:$D$2230,3,FALSE)</f>
        <v>#N/A</v>
      </c>
      <c r="W117" s="105" t="e">
        <f>VLOOKUP(T117,Species!$A$2:$D$2230,4,FALSE)</f>
        <v>#N/A</v>
      </c>
      <c r="X117" s="10"/>
      <c r="Y117" s="10"/>
      <c r="Z117" s="101"/>
      <c r="AA117" s="99"/>
      <c r="AB117" s="99"/>
      <c r="AC117" s="102"/>
      <c r="AD117" s="102"/>
      <c r="AE117" s="102"/>
      <c r="AF117" s="102"/>
      <c r="AG117" s="99"/>
      <c r="AH117" s="99"/>
      <c r="AI117" s="99"/>
      <c r="AJ117" s="99"/>
      <c r="AK117" s="99"/>
      <c r="AL117" s="10"/>
      <c r="AM117" s="99"/>
      <c r="AN117" s="103"/>
      <c r="AO117" s="16"/>
    </row>
    <row r="118" spans="1:41" x14ac:dyDescent="0.25">
      <c r="A118" s="86"/>
      <c r="B118" s="92"/>
      <c r="C118" s="99"/>
      <c r="D118" s="10"/>
      <c r="E118" s="10"/>
      <c r="F118" s="99"/>
      <c r="G118" s="10"/>
      <c r="H118" s="10"/>
      <c r="I118" s="100"/>
      <c r="J118" s="93"/>
      <c r="K118" s="92"/>
      <c r="L118" s="99"/>
      <c r="M118" s="10"/>
      <c r="N118" s="10"/>
      <c r="O118" s="99"/>
      <c r="P118" s="10"/>
      <c r="Q118" s="10"/>
      <c r="R118" s="100"/>
      <c r="S118" s="93"/>
      <c r="T118" s="100"/>
      <c r="U118" s="105" t="e">
        <f>VLOOKUP(T118,Species!$A$2:$D$2230,2,FALSE)</f>
        <v>#N/A</v>
      </c>
      <c r="V118" s="105" t="e">
        <f>VLOOKUP(T118,Species!$A$2:$D$2230,3,FALSE)</f>
        <v>#N/A</v>
      </c>
      <c r="W118" s="105" t="e">
        <f>VLOOKUP(T118,Species!$A$2:$D$2230,4,FALSE)</f>
        <v>#N/A</v>
      </c>
      <c r="X118" s="10"/>
      <c r="Y118" s="10"/>
      <c r="Z118" s="101"/>
      <c r="AA118" s="99"/>
      <c r="AB118" s="99"/>
      <c r="AC118" s="102"/>
      <c r="AD118" s="102"/>
      <c r="AE118" s="102"/>
      <c r="AF118" s="102"/>
      <c r="AG118" s="99"/>
      <c r="AH118" s="99"/>
      <c r="AI118" s="99"/>
      <c r="AJ118" s="99"/>
      <c r="AK118" s="99"/>
      <c r="AL118" s="10"/>
      <c r="AM118" s="99"/>
      <c r="AN118" s="103"/>
      <c r="AO118" s="16"/>
    </row>
    <row r="119" spans="1:41" x14ac:dyDescent="0.25">
      <c r="A119" s="86"/>
      <c r="B119" s="92"/>
      <c r="C119" s="99"/>
      <c r="D119" s="10"/>
      <c r="E119" s="10"/>
      <c r="F119" s="99"/>
      <c r="G119" s="10"/>
      <c r="H119" s="10"/>
      <c r="I119" s="100"/>
      <c r="J119" s="93"/>
      <c r="K119" s="92"/>
      <c r="L119" s="99"/>
      <c r="M119" s="10"/>
      <c r="N119" s="10"/>
      <c r="O119" s="99"/>
      <c r="P119" s="10"/>
      <c r="Q119" s="10"/>
      <c r="R119" s="100"/>
      <c r="S119" s="93"/>
      <c r="T119" s="100"/>
      <c r="U119" s="105" t="e">
        <f>VLOOKUP(T119,Species!$A$2:$D$2230,2,FALSE)</f>
        <v>#N/A</v>
      </c>
      <c r="V119" s="105" t="e">
        <f>VLOOKUP(T119,Species!$A$2:$D$2230,3,FALSE)</f>
        <v>#N/A</v>
      </c>
      <c r="W119" s="105" t="e">
        <f>VLOOKUP(T119,Species!$A$2:$D$2230,4,FALSE)</f>
        <v>#N/A</v>
      </c>
      <c r="X119" s="10"/>
      <c r="Y119" s="10"/>
      <c r="Z119" s="101"/>
      <c r="AA119" s="99"/>
      <c r="AB119" s="99"/>
      <c r="AC119" s="102"/>
      <c r="AD119" s="102"/>
      <c r="AE119" s="102"/>
      <c r="AF119" s="102"/>
      <c r="AG119" s="99"/>
      <c r="AH119" s="99"/>
      <c r="AI119" s="99"/>
      <c r="AJ119" s="99"/>
      <c r="AK119" s="99"/>
      <c r="AL119" s="10"/>
      <c r="AM119" s="99"/>
      <c r="AN119" s="103"/>
      <c r="AO119" s="16"/>
    </row>
    <row r="120" spans="1:41" x14ac:dyDescent="0.25">
      <c r="A120" s="87"/>
      <c r="B120" s="94"/>
      <c r="C120" s="99"/>
      <c r="D120" s="54"/>
      <c r="E120" s="54"/>
      <c r="F120" s="99"/>
      <c r="G120" s="54"/>
      <c r="H120" s="54"/>
      <c r="I120" s="100"/>
      <c r="J120" s="95"/>
      <c r="K120" s="94"/>
      <c r="L120" s="99"/>
      <c r="M120" s="54"/>
      <c r="N120" s="54"/>
      <c r="O120" s="99"/>
      <c r="P120" s="54"/>
      <c r="Q120" s="54"/>
      <c r="R120" s="100"/>
      <c r="S120" s="95"/>
      <c r="T120" s="100"/>
      <c r="U120" s="105" t="e">
        <f>VLOOKUP(T120,Species!$A$2:$D$2230,2,FALSE)</f>
        <v>#N/A</v>
      </c>
      <c r="V120" s="105" t="e">
        <f>VLOOKUP(T120,Species!$A$2:$D$2230,3,FALSE)</f>
        <v>#N/A</v>
      </c>
      <c r="W120" s="105" t="e">
        <f>VLOOKUP(T120,Species!$A$2:$D$2230,4,FALSE)</f>
        <v>#N/A</v>
      </c>
      <c r="X120" s="54"/>
      <c r="Y120" s="54"/>
      <c r="Z120" s="101"/>
      <c r="AA120" s="99"/>
      <c r="AB120" s="99"/>
      <c r="AC120" s="102"/>
      <c r="AD120" s="102"/>
      <c r="AE120" s="102"/>
      <c r="AF120" s="102"/>
      <c r="AG120" s="102"/>
      <c r="AH120" s="102"/>
      <c r="AI120" s="102"/>
      <c r="AJ120" s="102"/>
      <c r="AK120" s="102"/>
      <c r="AL120" s="54"/>
      <c r="AM120" s="102"/>
      <c r="AN120" s="104"/>
      <c r="AO120" s="16"/>
    </row>
    <row r="121" spans="1:41" x14ac:dyDescent="0.25">
      <c r="A121" s="86"/>
      <c r="B121" s="92"/>
      <c r="C121" s="99"/>
      <c r="D121" s="10"/>
      <c r="E121" s="10"/>
      <c r="F121" s="99"/>
      <c r="G121" s="10"/>
      <c r="H121" s="10"/>
      <c r="I121" s="100"/>
      <c r="J121" s="93"/>
      <c r="K121" s="92"/>
      <c r="L121" s="99"/>
      <c r="M121" s="10"/>
      <c r="N121" s="10"/>
      <c r="O121" s="99"/>
      <c r="P121" s="10"/>
      <c r="Q121" s="10"/>
      <c r="R121" s="100"/>
      <c r="S121" s="93"/>
      <c r="T121" s="100"/>
      <c r="U121" s="105" t="e">
        <f>VLOOKUP(T121,Species!$A$2:$D$2230,2,FALSE)</f>
        <v>#N/A</v>
      </c>
      <c r="V121" s="105" t="e">
        <f>VLOOKUP(T121,Species!$A$2:$D$2230,3,FALSE)</f>
        <v>#N/A</v>
      </c>
      <c r="W121" s="105" t="e">
        <f>VLOOKUP(T121,Species!$A$2:$D$2230,4,FALSE)</f>
        <v>#N/A</v>
      </c>
      <c r="X121" s="10"/>
      <c r="Y121" s="10"/>
      <c r="Z121" s="101"/>
      <c r="AA121" s="99"/>
      <c r="AB121" s="99"/>
      <c r="AC121" s="102"/>
      <c r="AD121" s="102"/>
      <c r="AE121" s="102"/>
      <c r="AF121" s="102"/>
      <c r="AG121" s="99"/>
      <c r="AH121" s="99"/>
      <c r="AI121" s="99"/>
      <c r="AJ121" s="99"/>
      <c r="AK121" s="99"/>
      <c r="AL121" s="10"/>
      <c r="AM121" s="99"/>
      <c r="AN121" s="103"/>
      <c r="AO121" s="16"/>
    </row>
    <row r="122" spans="1:41" x14ac:dyDescent="0.25">
      <c r="A122" s="86"/>
      <c r="B122" s="92"/>
      <c r="C122" s="99"/>
      <c r="D122" s="10"/>
      <c r="E122" s="10"/>
      <c r="F122" s="99"/>
      <c r="G122" s="10"/>
      <c r="H122" s="10"/>
      <c r="I122" s="100"/>
      <c r="J122" s="93"/>
      <c r="K122" s="92"/>
      <c r="L122" s="99"/>
      <c r="M122" s="10"/>
      <c r="N122" s="10"/>
      <c r="O122" s="99"/>
      <c r="P122" s="10"/>
      <c r="Q122" s="10"/>
      <c r="R122" s="100"/>
      <c r="S122" s="93"/>
      <c r="T122" s="100"/>
      <c r="U122" s="105" t="e">
        <f>VLOOKUP(T122,Species!$A$2:$D$2230,2,FALSE)</f>
        <v>#N/A</v>
      </c>
      <c r="V122" s="105" t="e">
        <f>VLOOKUP(T122,Species!$A$2:$D$2230,3,FALSE)</f>
        <v>#N/A</v>
      </c>
      <c r="W122" s="105" t="e">
        <f>VLOOKUP(T122,Species!$A$2:$D$2230,4,FALSE)</f>
        <v>#N/A</v>
      </c>
      <c r="X122" s="10"/>
      <c r="Y122" s="10"/>
      <c r="Z122" s="101"/>
      <c r="AA122" s="99"/>
      <c r="AB122" s="99"/>
      <c r="AC122" s="102"/>
      <c r="AD122" s="102"/>
      <c r="AE122" s="102"/>
      <c r="AF122" s="102"/>
      <c r="AG122" s="99"/>
      <c r="AH122" s="99"/>
      <c r="AI122" s="99"/>
      <c r="AJ122" s="99"/>
      <c r="AK122" s="99"/>
      <c r="AL122" s="10"/>
      <c r="AM122" s="99"/>
      <c r="AN122" s="103"/>
      <c r="AO122" s="16"/>
    </row>
    <row r="123" spans="1:41" x14ac:dyDescent="0.25">
      <c r="A123" s="86"/>
      <c r="B123" s="92"/>
      <c r="C123" s="99"/>
      <c r="D123" s="10"/>
      <c r="E123" s="10"/>
      <c r="F123" s="99"/>
      <c r="G123" s="10"/>
      <c r="H123" s="10"/>
      <c r="I123" s="100"/>
      <c r="J123" s="93"/>
      <c r="K123" s="92"/>
      <c r="L123" s="99"/>
      <c r="M123" s="10"/>
      <c r="N123" s="10"/>
      <c r="O123" s="99"/>
      <c r="P123" s="10"/>
      <c r="Q123" s="10"/>
      <c r="R123" s="100"/>
      <c r="S123" s="93"/>
      <c r="T123" s="100"/>
      <c r="U123" s="105" t="e">
        <f>VLOOKUP(T123,Species!$A$2:$D$2230,2,FALSE)</f>
        <v>#N/A</v>
      </c>
      <c r="V123" s="105" t="e">
        <f>VLOOKUP(T123,Species!$A$2:$D$2230,3,FALSE)</f>
        <v>#N/A</v>
      </c>
      <c r="W123" s="105" t="e">
        <f>VLOOKUP(T123,Species!$A$2:$D$2230,4,FALSE)</f>
        <v>#N/A</v>
      </c>
      <c r="X123" s="10"/>
      <c r="Y123" s="10"/>
      <c r="Z123" s="101"/>
      <c r="AA123" s="99"/>
      <c r="AB123" s="99"/>
      <c r="AC123" s="102"/>
      <c r="AD123" s="102"/>
      <c r="AE123" s="102"/>
      <c r="AF123" s="102"/>
      <c r="AG123" s="99"/>
      <c r="AH123" s="99"/>
      <c r="AI123" s="99"/>
      <c r="AJ123" s="99"/>
      <c r="AK123" s="99"/>
      <c r="AL123" s="10"/>
      <c r="AM123" s="99"/>
      <c r="AN123" s="103"/>
      <c r="AO123" s="16"/>
    </row>
    <row r="124" spans="1:41" x14ac:dyDescent="0.25">
      <c r="A124" s="86"/>
      <c r="B124" s="92"/>
      <c r="C124" s="99"/>
      <c r="D124" s="10"/>
      <c r="E124" s="10"/>
      <c r="F124" s="99"/>
      <c r="G124" s="10"/>
      <c r="H124" s="10"/>
      <c r="I124" s="100"/>
      <c r="J124" s="93"/>
      <c r="K124" s="92"/>
      <c r="L124" s="99"/>
      <c r="M124" s="10"/>
      <c r="N124" s="10"/>
      <c r="O124" s="99"/>
      <c r="P124" s="10"/>
      <c r="Q124" s="10"/>
      <c r="R124" s="100"/>
      <c r="S124" s="93"/>
      <c r="T124" s="100"/>
      <c r="U124" s="105" t="e">
        <f>VLOOKUP(T124,Species!$A$2:$D$2230,2,FALSE)</f>
        <v>#N/A</v>
      </c>
      <c r="V124" s="105" t="e">
        <f>VLOOKUP(T124,Species!$A$2:$D$2230,3,FALSE)</f>
        <v>#N/A</v>
      </c>
      <c r="W124" s="105" t="e">
        <f>VLOOKUP(T124,Species!$A$2:$D$2230,4,FALSE)</f>
        <v>#N/A</v>
      </c>
      <c r="X124" s="10"/>
      <c r="Y124" s="10"/>
      <c r="Z124" s="101"/>
      <c r="AA124" s="99"/>
      <c r="AB124" s="99"/>
      <c r="AC124" s="102"/>
      <c r="AD124" s="102"/>
      <c r="AE124" s="102"/>
      <c r="AF124" s="102"/>
      <c r="AG124" s="99"/>
      <c r="AH124" s="99"/>
      <c r="AI124" s="99"/>
      <c r="AJ124" s="99"/>
      <c r="AK124" s="99"/>
      <c r="AL124" s="10"/>
      <c r="AM124" s="99"/>
      <c r="AN124" s="103"/>
      <c r="AO124" s="16"/>
    </row>
    <row r="125" spans="1:41" x14ac:dyDescent="0.25">
      <c r="A125" s="86"/>
      <c r="B125" s="92"/>
      <c r="C125" s="99"/>
      <c r="D125" s="10"/>
      <c r="E125" s="10"/>
      <c r="F125" s="99"/>
      <c r="G125" s="10"/>
      <c r="H125" s="10"/>
      <c r="I125" s="100"/>
      <c r="J125" s="93"/>
      <c r="K125" s="92"/>
      <c r="L125" s="99"/>
      <c r="M125" s="10"/>
      <c r="N125" s="10"/>
      <c r="O125" s="99"/>
      <c r="P125" s="10"/>
      <c r="Q125" s="10"/>
      <c r="R125" s="100"/>
      <c r="S125" s="93"/>
      <c r="T125" s="100"/>
      <c r="U125" s="105" t="e">
        <f>VLOOKUP(T125,Species!$A$2:$D$2230,2,FALSE)</f>
        <v>#N/A</v>
      </c>
      <c r="V125" s="105" t="e">
        <f>VLOOKUP(T125,Species!$A$2:$D$2230,3,FALSE)</f>
        <v>#N/A</v>
      </c>
      <c r="W125" s="105" t="e">
        <f>VLOOKUP(T125,Species!$A$2:$D$2230,4,FALSE)</f>
        <v>#N/A</v>
      </c>
      <c r="X125" s="10"/>
      <c r="Y125" s="10"/>
      <c r="Z125" s="101"/>
      <c r="AA125" s="99"/>
      <c r="AB125" s="99"/>
      <c r="AC125" s="102"/>
      <c r="AD125" s="102"/>
      <c r="AE125" s="102"/>
      <c r="AF125" s="102"/>
      <c r="AG125" s="99"/>
      <c r="AH125" s="99"/>
      <c r="AI125" s="99"/>
      <c r="AJ125" s="99"/>
      <c r="AK125" s="99"/>
      <c r="AL125" s="10"/>
      <c r="AM125" s="99"/>
      <c r="AN125" s="103"/>
      <c r="AO125" s="16"/>
    </row>
    <row r="126" spans="1:41" x14ac:dyDescent="0.25">
      <c r="A126" s="86"/>
      <c r="B126" s="92"/>
      <c r="C126" s="99"/>
      <c r="D126" s="10"/>
      <c r="E126" s="10"/>
      <c r="F126" s="99"/>
      <c r="G126" s="10"/>
      <c r="H126" s="10"/>
      <c r="I126" s="100"/>
      <c r="J126" s="93"/>
      <c r="K126" s="92"/>
      <c r="L126" s="99"/>
      <c r="M126" s="10"/>
      <c r="N126" s="10"/>
      <c r="O126" s="99"/>
      <c r="P126" s="10"/>
      <c r="Q126" s="10"/>
      <c r="R126" s="100"/>
      <c r="S126" s="93"/>
      <c r="T126" s="100"/>
      <c r="U126" s="105" t="e">
        <f>VLOOKUP(T126,Species!$A$2:$D$2230,2,FALSE)</f>
        <v>#N/A</v>
      </c>
      <c r="V126" s="105" t="e">
        <f>VLOOKUP(T126,Species!$A$2:$D$2230,3,FALSE)</f>
        <v>#N/A</v>
      </c>
      <c r="W126" s="105" t="e">
        <f>VLOOKUP(T126,Species!$A$2:$D$2230,4,FALSE)</f>
        <v>#N/A</v>
      </c>
      <c r="X126" s="10"/>
      <c r="Y126" s="10"/>
      <c r="Z126" s="101"/>
      <c r="AA126" s="99"/>
      <c r="AB126" s="99"/>
      <c r="AC126" s="102"/>
      <c r="AD126" s="102"/>
      <c r="AE126" s="102"/>
      <c r="AF126" s="102"/>
      <c r="AG126" s="99"/>
      <c r="AH126" s="99"/>
      <c r="AI126" s="99"/>
      <c r="AJ126" s="99"/>
      <c r="AK126" s="99"/>
      <c r="AL126" s="10"/>
      <c r="AM126" s="99"/>
      <c r="AN126" s="103"/>
      <c r="AO126" s="16"/>
    </row>
    <row r="127" spans="1:41" x14ac:dyDescent="0.25">
      <c r="A127" s="86"/>
      <c r="B127" s="92"/>
      <c r="C127" s="99"/>
      <c r="D127" s="10"/>
      <c r="E127" s="10"/>
      <c r="F127" s="99"/>
      <c r="G127" s="10"/>
      <c r="H127" s="10"/>
      <c r="I127" s="100"/>
      <c r="J127" s="93"/>
      <c r="K127" s="92"/>
      <c r="L127" s="99"/>
      <c r="M127" s="10"/>
      <c r="N127" s="10"/>
      <c r="O127" s="99"/>
      <c r="P127" s="10"/>
      <c r="Q127" s="10"/>
      <c r="R127" s="100"/>
      <c r="S127" s="93"/>
      <c r="T127" s="100"/>
      <c r="U127" s="105" t="e">
        <f>VLOOKUP(T127,Species!$A$2:$D$2230,2,FALSE)</f>
        <v>#N/A</v>
      </c>
      <c r="V127" s="105" t="e">
        <f>VLOOKUP(T127,Species!$A$2:$D$2230,3,FALSE)</f>
        <v>#N/A</v>
      </c>
      <c r="W127" s="105" t="e">
        <f>VLOOKUP(T127,Species!$A$2:$D$2230,4,FALSE)</f>
        <v>#N/A</v>
      </c>
      <c r="X127" s="10"/>
      <c r="Y127" s="10"/>
      <c r="Z127" s="101"/>
      <c r="AA127" s="99"/>
      <c r="AB127" s="99"/>
      <c r="AC127" s="102"/>
      <c r="AD127" s="102"/>
      <c r="AE127" s="102"/>
      <c r="AF127" s="102"/>
      <c r="AG127" s="99"/>
      <c r="AH127" s="99"/>
      <c r="AI127" s="99"/>
      <c r="AJ127" s="99"/>
      <c r="AK127" s="99"/>
      <c r="AL127" s="10"/>
      <c r="AM127" s="99"/>
      <c r="AN127" s="103"/>
      <c r="AO127" s="16"/>
    </row>
    <row r="128" spans="1:41" x14ac:dyDescent="0.25">
      <c r="A128" s="86"/>
      <c r="B128" s="92"/>
      <c r="C128" s="99"/>
      <c r="D128" s="10"/>
      <c r="E128" s="10"/>
      <c r="F128" s="99"/>
      <c r="G128" s="10"/>
      <c r="H128" s="10"/>
      <c r="I128" s="100"/>
      <c r="J128" s="93"/>
      <c r="K128" s="92"/>
      <c r="L128" s="99"/>
      <c r="M128" s="10"/>
      <c r="N128" s="10"/>
      <c r="O128" s="99"/>
      <c r="P128" s="10"/>
      <c r="Q128" s="10"/>
      <c r="R128" s="100"/>
      <c r="S128" s="93"/>
      <c r="T128" s="100"/>
      <c r="U128" s="105" t="e">
        <f>VLOOKUP(T128,Species!$A$2:$D$2230,2,FALSE)</f>
        <v>#N/A</v>
      </c>
      <c r="V128" s="105" t="e">
        <f>VLOOKUP(T128,Species!$A$2:$D$2230,3,FALSE)</f>
        <v>#N/A</v>
      </c>
      <c r="W128" s="105" t="e">
        <f>VLOOKUP(T128,Species!$A$2:$D$2230,4,FALSE)</f>
        <v>#N/A</v>
      </c>
      <c r="X128" s="10"/>
      <c r="Y128" s="10"/>
      <c r="Z128" s="101"/>
      <c r="AA128" s="99"/>
      <c r="AB128" s="99"/>
      <c r="AC128" s="102"/>
      <c r="AD128" s="102"/>
      <c r="AE128" s="102"/>
      <c r="AF128" s="102"/>
      <c r="AG128" s="99"/>
      <c r="AH128" s="99"/>
      <c r="AI128" s="99"/>
      <c r="AJ128" s="99"/>
      <c r="AK128" s="99"/>
      <c r="AL128" s="10"/>
      <c r="AM128" s="99"/>
      <c r="AN128" s="103"/>
      <c r="AO128" s="16"/>
    </row>
    <row r="129" spans="1:41" x14ac:dyDescent="0.25">
      <c r="A129" s="87"/>
      <c r="B129" s="94"/>
      <c r="C129" s="99"/>
      <c r="D129" s="54"/>
      <c r="E129" s="54"/>
      <c r="F129" s="99"/>
      <c r="G129" s="54"/>
      <c r="H129" s="54"/>
      <c r="I129" s="100"/>
      <c r="J129" s="95"/>
      <c r="K129" s="94"/>
      <c r="L129" s="99"/>
      <c r="M129" s="54"/>
      <c r="N129" s="54"/>
      <c r="O129" s="99"/>
      <c r="P129" s="54"/>
      <c r="Q129" s="54"/>
      <c r="R129" s="100"/>
      <c r="S129" s="95"/>
      <c r="T129" s="100"/>
      <c r="U129" s="105" t="e">
        <f>VLOOKUP(T129,Species!$A$2:$D$2230,2,FALSE)</f>
        <v>#N/A</v>
      </c>
      <c r="V129" s="105" t="e">
        <f>VLOOKUP(T129,Species!$A$2:$D$2230,3,FALSE)</f>
        <v>#N/A</v>
      </c>
      <c r="W129" s="105" t="e">
        <f>VLOOKUP(T129,Species!$A$2:$D$2230,4,FALSE)</f>
        <v>#N/A</v>
      </c>
      <c r="X129" s="54"/>
      <c r="Y129" s="54"/>
      <c r="Z129" s="101"/>
      <c r="AA129" s="99"/>
      <c r="AB129" s="99"/>
      <c r="AC129" s="102"/>
      <c r="AD129" s="102"/>
      <c r="AE129" s="102"/>
      <c r="AF129" s="102"/>
      <c r="AG129" s="102"/>
      <c r="AH129" s="102"/>
      <c r="AI129" s="102"/>
      <c r="AJ129" s="102"/>
      <c r="AK129" s="102"/>
      <c r="AL129" s="54"/>
      <c r="AM129" s="102"/>
      <c r="AN129" s="104"/>
      <c r="AO129" s="16"/>
    </row>
    <row r="130" spans="1:41" x14ac:dyDescent="0.25">
      <c r="A130" s="86"/>
      <c r="B130" s="92"/>
      <c r="C130" s="99"/>
      <c r="D130" s="10"/>
      <c r="E130" s="10"/>
      <c r="F130" s="99"/>
      <c r="G130" s="10"/>
      <c r="H130" s="10"/>
      <c r="I130" s="100"/>
      <c r="J130" s="93"/>
      <c r="K130" s="92"/>
      <c r="L130" s="99"/>
      <c r="M130" s="10"/>
      <c r="N130" s="10"/>
      <c r="O130" s="99"/>
      <c r="P130" s="10"/>
      <c r="Q130" s="10"/>
      <c r="R130" s="100"/>
      <c r="S130" s="93"/>
      <c r="T130" s="100"/>
      <c r="U130" s="105" t="e">
        <f>VLOOKUP(T130,Species!$A$2:$D$2230,2,FALSE)</f>
        <v>#N/A</v>
      </c>
      <c r="V130" s="105" t="e">
        <f>VLOOKUP(T130,Species!$A$2:$D$2230,3,FALSE)</f>
        <v>#N/A</v>
      </c>
      <c r="W130" s="105" t="e">
        <f>VLOOKUP(T130,Species!$A$2:$D$2230,4,FALSE)</f>
        <v>#N/A</v>
      </c>
      <c r="X130" s="10"/>
      <c r="Y130" s="10"/>
      <c r="Z130" s="101"/>
      <c r="AA130" s="99"/>
      <c r="AB130" s="99"/>
      <c r="AC130" s="102"/>
      <c r="AD130" s="102"/>
      <c r="AE130" s="102"/>
      <c r="AF130" s="102"/>
      <c r="AG130" s="99"/>
      <c r="AH130" s="99"/>
      <c r="AI130" s="99"/>
      <c r="AJ130" s="99"/>
      <c r="AK130" s="99"/>
      <c r="AL130" s="10"/>
      <c r="AM130" s="99"/>
      <c r="AN130" s="103"/>
      <c r="AO130" s="16"/>
    </row>
    <row r="131" spans="1:41" x14ac:dyDescent="0.25">
      <c r="A131" s="86"/>
      <c r="B131" s="92"/>
      <c r="C131" s="99"/>
      <c r="D131" s="10"/>
      <c r="E131" s="10"/>
      <c r="F131" s="99"/>
      <c r="G131" s="10"/>
      <c r="H131" s="10"/>
      <c r="I131" s="100"/>
      <c r="J131" s="93"/>
      <c r="K131" s="92"/>
      <c r="L131" s="99"/>
      <c r="M131" s="10"/>
      <c r="N131" s="10"/>
      <c r="O131" s="99"/>
      <c r="P131" s="10"/>
      <c r="Q131" s="10"/>
      <c r="R131" s="100"/>
      <c r="S131" s="93"/>
      <c r="T131" s="100"/>
      <c r="U131" s="105" t="e">
        <f>VLOOKUP(T131,Species!$A$2:$D$2230,2,FALSE)</f>
        <v>#N/A</v>
      </c>
      <c r="V131" s="105" t="e">
        <f>VLOOKUP(T131,Species!$A$2:$D$2230,3,FALSE)</f>
        <v>#N/A</v>
      </c>
      <c r="W131" s="105" t="e">
        <f>VLOOKUP(T131,Species!$A$2:$D$2230,4,FALSE)</f>
        <v>#N/A</v>
      </c>
      <c r="X131" s="10"/>
      <c r="Y131" s="10"/>
      <c r="Z131" s="101"/>
      <c r="AA131" s="99"/>
      <c r="AB131" s="99"/>
      <c r="AC131" s="102"/>
      <c r="AD131" s="102"/>
      <c r="AE131" s="102"/>
      <c r="AF131" s="102"/>
      <c r="AG131" s="99"/>
      <c r="AH131" s="99"/>
      <c r="AI131" s="99"/>
      <c r="AJ131" s="99"/>
      <c r="AK131" s="99"/>
      <c r="AL131" s="10"/>
      <c r="AM131" s="99"/>
      <c r="AN131" s="103"/>
      <c r="AO131" s="16"/>
    </row>
    <row r="132" spans="1:41" x14ac:dyDescent="0.25">
      <c r="A132" s="86"/>
      <c r="B132" s="92"/>
      <c r="C132" s="99"/>
      <c r="D132" s="10"/>
      <c r="E132" s="10"/>
      <c r="F132" s="99"/>
      <c r="G132" s="10"/>
      <c r="H132" s="10"/>
      <c r="I132" s="100"/>
      <c r="J132" s="93"/>
      <c r="K132" s="92"/>
      <c r="L132" s="99"/>
      <c r="M132" s="10"/>
      <c r="N132" s="10"/>
      <c r="O132" s="99"/>
      <c r="P132" s="10"/>
      <c r="Q132" s="10"/>
      <c r="R132" s="100"/>
      <c r="S132" s="93"/>
      <c r="T132" s="100"/>
      <c r="U132" s="105" t="e">
        <f>VLOOKUP(T132,Species!$A$2:$D$2230,2,FALSE)</f>
        <v>#N/A</v>
      </c>
      <c r="V132" s="105" t="e">
        <f>VLOOKUP(T132,Species!$A$2:$D$2230,3,FALSE)</f>
        <v>#N/A</v>
      </c>
      <c r="W132" s="105" t="e">
        <f>VLOOKUP(T132,Species!$A$2:$D$2230,4,FALSE)</f>
        <v>#N/A</v>
      </c>
      <c r="X132" s="10"/>
      <c r="Y132" s="10"/>
      <c r="Z132" s="101"/>
      <c r="AA132" s="99"/>
      <c r="AB132" s="99"/>
      <c r="AC132" s="102"/>
      <c r="AD132" s="102"/>
      <c r="AE132" s="102"/>
      <c r="AF132" s="102"/>
      <c r="AG132" s="99"/>
      <c r="AH132" s="99"/>
      <c r="AI132" s="99"/>
      <c r="AJ132" s="99"/>
      <c r="AK132" s="99"/>
      <c r="AL132" s="10"/>
      <c r="AM132" s="99"/>
      <c r="AN132" s="103"/>
      <c r="AO132" s="16"/>
    </row>
    <row r="133" spans="1:41" x14ac:dyDescent="0.25">
      <c r="A133" s="86"/>
      <c r="B133" s="92"/>
      <c r="C133" s="99"/>
      <c r="D133" s="10"/>
      <c r="E133" s="10"/>
      <c r="F133" s="99"/>
      <c r="G133" s="10"/>
      <c r="H133" s="10"/>
      <c r="I133" s="100"/>
      <c r="J133" s="93"/>
      <c r="K133" s="92"/>
      <c r="L133" s="99"/>
      <c r="M133" s="10"/>
      <c r="N133" s="10"/>
      <c r="O133" s="99"/>
      <c r="P133" s="10"/>
      <c r="Q133" s="10"/>
      <c r="R133" s="100"/>
      <c r="S133" s="93"/>
      <c r="T133" s="100"/>
      <c r="U133" s="105" t="e">
        <f>VLOOKUP(T133,Species!$A$2:$D$2230,2,FALSE)</f>
        <v>#N/A</v>
      </c>
      <c r="V133" s="105" t="e">
        <f>VLOOKUP(T133,Species!$A$2:$D$2230,3,FALSE)</f>
        <v>#N/A</v>
      </c>
      <c r="W133" s="105" t="e">
        <f>VLOOKUP(T133,Species!$A$2:$D$2230,4,FALSE)</f>
        <v>#N/A</v>
      </c>
      <c r="X133" s="10"/>
      <c r="Y133" s="10"/>
      <c r="Z133" s="101"/>
      <c r="AA133" s="99"/>
      <c r="AB133" s="99"/>
      <c r="AC133" s="102"/>
      <c r="AD133" s="102"/>
      <c r="AE133" s="102"/>
      <c r="AF133" s="102"/>
      <c r="AG133" s="99"/>
      <c r="AH133" s="99"/>
      <c r="AI133" s="99"/>
      <c r="AJ133" s="99"/>
      <c r="AK133" s="99"/>
      <c r="AL133" s="10"/>
      <c r="AM133" s="99"/>
      <c r="AN133" s="103"/>
      <c r="AO133" s="16"/>
    </row>
    <row r="134" spans="1:41" x14ac:dyDescent="0.25">
      <c r="A134" s="86"/>
      <c r="B134" s="92"/>
      <c r="C134" s="99"/>
      <c r="D134" s="10"/>
      <c r="E134" s="10"/>
      <c r="F134" s="99"/>
      <c r="G134" s="10"/>
      <c r="H134" s="10"/>
      <c r="I134" s="100"/>
      <c r="J134" s="93"/>
      <c r="K134" s="92"/>
      <c r="L134" s="99"/>
      <c r="M134" s="10"/>
      <c r="N134" s="10"/>
      <c r="O134" s="99"/>
      <c r="P134" s="10"/>
      <c r="Q134" s="10"/>
      <c r="R134" s="100"/>
      <c r="S134" s="93"/>
      <c r="T134" s="100"/>
      <c r="U134" s="105" t="e">
        <f>VLOOKUP(T134,Species!$A$2:$D$2230,2,FALSE)</f>
        <v>#N/A</v>
      </c>
      <c r="V134" s="105" t="e">
        <f>VLOOKUP(T134,Species!$A$2:$D$2230,3,FALSE)</f>
        <v>#N/A</v>
      </c>
      <c r="W134" s="105" t="e">
        <f>VLOOKUP(T134,Species!$A$2:$D$2230,4,FALSE)</f>
        <v>#N/A</v>
      </c>
      <c r="X134" s="10"/>
      <c r="Y134" s="10"/>
      <c r="Z134" s="101"/>
      <c r="AA134" s="99"/>
      <c r="AB134" s="99"/>
      <c r="AC134" s="102"/>
      <c r="AD134" s="102"/>
      <c r="AE134" s="102"/>
      <c r="AF134" s="102"/>
      <c r="AG134" s="99"/>
      <c r="AH134" s="99"/>
      <c r="AI134" s="99"/>
      <c r="AJ134" s="99"/>
      <c r="AK134" s="99"/>
      <c r="AL134" s="10"/>
      <c r="AM134" s="99"/>
      <c r="AN134" s="103"/>
      <c r="AO134" s="16"/>
    </row>
    <row r="135" spans="1:41" x14ac:dyDescent="0.25">
      <c r="A135" s="86"/>
      <c r="B135" s="92"/>
      <c r="C135" s="99"/>
      <c r="D135" s="10"/>
      <c r="E135" s="10"/>
      <c r="F135" s="99"/>
      <c r="G135" s="10"/>
      <c r="H135" s="10"/>
      <c r="I135" s="100"/>
      <c r="J135" s="93"/>
      <c r="K135" s="92"/>
      <c r="L135" s="99"/>
      <c r="M135" s="10"/>
      <c r="N135" s="10"/>
      <c r="O135" s="99"/>
      <c r="P135" s="10"/>
      <c r="Q135" s="10"/>
      <c r="R135" s="100"/>
      <c r="S135" s="93"/>
      <c r="T135" s="100"/>
      <c r="U135" s="105" t="e">
        <f>VLOOKUP(T135,Species!$A$2:$D$2230,2,FALSE)</f>
        <v>#N/A</v>
      </c>
      <c r="V135" s="105" t="e">
        <f>VLOOKUP(T135,Species!$A$2:$D$2230,3,FALSE)</f>
        <v>#N/A</v>
      </c>
      <c r="W135" s="105" t="e">
        <f>VLOOKUP(T135,Species!$A$2:$D$2230,4,FALSE)</f>
        <v>#N/A</v>
      </c>
      <c r="X135" s="10"/>
      <c r="Y135" s="10"/>
      <c r="Z135" s="101"/>
      <c r="AA135" s="99"/>
      <c r="AB135" s="99"/>
      <c r="AC135" s="102"/>
      <c r="AD135" s="102"/>
      <c r="AE135" s="102"/>
      <c r="AF135" s="102"/>
      <c r="AG135" s="99"/>
      <c r="AH135" s="99"/>
      <c r="AI135" s="99"/>
      <c r="AJ135" s="99"/>
      <c r="AK135" s="99"/>
      <c r="AL135" s="10"/>
      <c r="AM135" s="99"/>
      <c r="AN135" s="103"/>
      <c r="AO135" s="16"/>
    </row>
    <row r="136" spans="1:41" x14ac:dyDescent="0.25">
      <c r="A136" s="86"/>
      <c r="B136" s="92"/>
      <c r="C136" s="99"/>
      <c r="D136" s="10"/>
      <c r="E136" s="10"/>
      <c r="F136" s="99"/>
      <c r="G136" s="10"/>
      <c r="H136" s="10"/>
      <c r="I136" s="100"/>
      <c r="J136" s="93"/>
      <c r="K136" s="92"/>
      <c r="L136" s="99"/>
      <c r="M136" s="10"/>
      <c r="N136" s="10"/>
      <c r="O136" s="99"/>
      <c r="P136" s="10"/>
      <c r="Q136" s="10"/>
      <c r="R136" s="100"/>
      <c r="S136" s="93"/>
      <c r="T136" s="100"/>
      <c r="U136" s="105" t="e">
        <f>VLOOKUP(T136,Species!$A$2:$D$2230,2,FALSE)</f>
        <v>#N/A</v>
      </c>
      <c r="V136" s="105" t="e">
        <f>VLOOKUP(T136,Species!$A$2:$D$2230,3,FALSE)</f>
        <v>#N/A</v>
      </c>
      <c r="W136" s="105" t="e">
        <f>VLOOKUP(T136,Species!$A$2:$D$2230,4,FALSE)</f>
        <v>#N/A</v>
      </c>
      <c r="X136" s="10"/>
      <c r="Y136" s="10"/>
      <c r="Z136" s="101"/>
      <c r="AA136" s="99"/>
      <c r="AB136" s="99"/>
      <c r="AC136" s="102"/>
      <c r="AD136" s="102"/>
      <c r="AE136" s="102"/>
      <c r="AF136" s="102"/>
      <c r="AG136" s="99"/>
      <c r="AH136" s="99"/>
      <c r="AI136" s="99"/>
      <c r="AJ136" s="99"/>
      <c r="AK136" s="99"/>
      <c r="AL136" s="10"/>
      <c r="AM136" s="99"/>
      <c r="AN136" s="103"/>
      <c r="AO136" s="16"/>
    </row>
    <row r="137" spans="1:41" x14ac:dyDescent="0.25">
      <c r="A137" s="86"/>
      <c r="B137" s="92"/>
      <c r="C137" s="99"/>
      <c r="D137" s="10"/>
      <c r="E137" s="10"/>
      <c r="F137" s="99"/>
      <c r="G137" s="10"/>
      <c r="H137" s="10"/>
      <c r="I137" s="100"/>
      <c r="J137" s="93"/>
      <c r="K137" s="92"/>
      <c r="L137" s="99"/>
      <c r="M137" s="10"/>
      <c r="N137" s="10"/>
      <c r="O137" s="99"/>
      <c r="P137" s="10"/>
      <c r="Q137" s="10"/>
      <c r="R137" s="100"/>
      <c r="S137" s="93"/>
      <c r="T137" s="100"/>
      <c r="U137" s="105" t="e">
        <f>VLOOKUP(T137,Species!$A$2:$D$2230,2,FALSE)</f>
        <v>#N/A</v>
      </c>
      <c r="V137" s="105" t="e">
        <f>VLOOKUP(T137,Species!$A$2:$D$2230,3,FALSE)</f>
        <v>#N/A</v>
      </c>
      <c r="W137" s="105" t="e">
        <f>VLOOKUP(T137,Species!$A$2:$D$2230,4,FALSE)</f>
        <v>#N/A</v>
      </c>
      <c r="X137" s="10"/>
      <c r="Y137" s="10"/>
      <c r="Z137" s="101"/>
      <c r="AA137" s="99"/>
      <c r="AB137" s="99"/>
      <c r="AC137" s="102"/>
      <c r="AD137" s="102"/>
      <c r="AE137" s="102"/>
      <c r="AF137" s="102"/>
      <c r="AG137" s="99"/>
      <c r="AH137" s="99"/>
      <c r="AI137" s="99"/>
      <c r="AJ137" s="99"/>
      <c r="AK137" s="99"/>
      <c r="AL137" s="10"/>
      <c r="AM137" s="99"/>
      <c r="AN137" s="103"/>
      <c r="AO137" s="16"/>
    </row>
    <row r="138" spans="1:41" x14ac:dyDescent="0.25">
      <c r="A138" s="87"/>
      <c r="B138" s="94"/>
      <c r="C138" s="99"/>
      <c r="D138" s="54"/>
      <c r="E138" s="54"/>
      <c r="F138" s="99"/>
      <c r="G138" s="54"/>
      <c r="H138" s="54"/>
      <c r="I138" s="100"/>
      <c r="J138" s="95"/>
      <c r="K138" s="94"/>
      <c r="L138" s="99"/>
      <c r="M138" s="54"/>
      <c r="N138" s="54"/>
      <c r="O138" s="99"/>
      <c r="P138" s="54"/>
      <c r="Q138" s="54"/>
      <c r="R138" s="100"/>
      <c r="S138" s="95"/>
      <c r="T138" s="100"/>
      <c r="U138" s="105" t="e">
        <f>VLOOKUP(T138,Species!$A$2:$D$2230,2,FALSE)</f>
        <v>#N/A</v>
      </c>
      <c r="V138" s="105" t="e">
        <f>VLOOKUP(T138,Species!$A$2:$D$2230,3,FALSE)</f>
        <v>#N/A</v>
      </c>
      <c r="W138" s="105" t="e">
        <f>VLOOKUP(T138,Species!$A$2:$D$2230,4,FALSE)</f>
        <v>#N/A</v>
      </c>
      <c r="X138" s="54"/>
      <c r="Y138" s="54"/>
      <c r="Z138" s="101"/>
      <c r="AA138" s="99"/>
      <c r="AB138" s="99"/>
      <c r="AC138" s="102"/>
      <c r="AD138" s="102"/>
      <c r="AE138" s="102"/>
      <c r="AF138" s="102"/>
      <c r="AG138" s="102"/>
      <c r="AH138" s="102"/>
      <c r="AI138" s="102"/>
      <c r="AJ138" s="102"/>
      <c r="AK138" s="102"/>
      <c r="AL138" s="54"/>
      <c r="AM138" s="102"/>
      <c r="AN138" s="104"/>
      <c r="AO138" s="16"/>
    </row>
    <row r="139" spans="1:41" x14ac:dyDescent="0.25">
      <c r="A139" s="86"/>
      <c r="B139" s="92"/>
      <c r="C139" s="99"/>
      <c r="D139" s="10"/>
      <c r="E139" s="10"/>
      <c r="F139" s="99"/>
      <c r="G139" s="10"/>
      <c r="H139" s="10"/>
      <c r="I139" s="100"/>
      <c r="J139" s="93"/>
      <c r="K139" s="92"/>
      <c r="L139" s="99"/>
      <c r="M139" s="10"/>
      <c r="N139" s="10"/>
      <c r="O139" s="99"/>
      <c r="P139" s="10"/>
      <c r="Q139" s="10"/>
      <c r="R139" s="100"/>
      <c r="S139" s="93"/>
      <c r="T139" s="100"/>
      <c r="U139" s="105" t="e">
        <f>VLOOKUP(T139,Species!$A$2:$D$2230,2,FALSE)</f>
        <v>#N/A</v>
      </c>
      <c r="V139" s="105" t="e">
        <f>VLOOKUP(T139,Species!$A$2:$D$2230,3,FALSE)</f>
        <v>#N/A</v>
      </c>
      <c r="W139" s="105" t="e">
        <f>VLOOKUP(T139,Species!$A$2:$D$2230,4,FALSE)</f>
        <v>#N/A</v>
      </c>
      <c r="X139" s="10"/>
      <c r="Y139" s="10"/>
      <c r="Z139" s="101"/>
      <c r="AA139" s="99"/>
      <c r="AB139" s="99"/>
      <c r="AC139" s="102"/>
      <c r="AD139" s="102"/>
      <c r="AE139" s="102"/>
      <c r="AF139" s="102"/>
      <c r="AG139" s="99"/>
      <c r="AH139" s="99"/>
      <c r="AI139" s="99"/>
      <c r="AJ139" s="99"/>
      <c r="AK139" s="99"/>
      <c r="AL139" s="10"/>
      <c r="AM139" s="99"/>
      <c r="AN139" s="103"/>
      <c r="AO139" s="16"/>
    </row>
    <row r="140" spans="1:41" x14ac:dyDescent="0.25">
      <c r="A140" s="86"/>
      <c r="B140" s="92"/>
      <c r="C140" s="99"/>
      <c r="D140" s="10"/>
      <c r="E140" s="10"/>
      <c r="F140" s="99"/>
      <c r="G140" s="10"/>
      <c r="H140" s="10"/>
      <c r="I140" s="100"/>
      <c r="J140" s="93"/>
      <c r="K140" s="92"/>
      <c r="L140" s="99"/>
      <c r="M140" s="10"/>
      <c r="N140" s="10"/>
      <c r="O140" s="99"/>
      <c r="P140" s="10"/>
      <c r="Q140" s="10"/>
      <c r="R140" s="100"/>
      <c r="S140" s="93"/>
      <c r="T140" s="100"/>
      <c r="U140" s="105" t="e">
        <f>VLOOKUP(T140,Species!$A$2:$D$2230,2,FALSE)</f>
        <v>#N/A</v>
      </c>
      <c r="V140" s="105" t="e">
        <f>VLOOKUP(T140,Species!$A$2:$D$2230,3,FALSE)</f>
        <v>#N/A</v>
      </c>
      <c r="W140" s="105" t="e">
        <f>VLOOKUP(T140,Species!$A$2:$D$2230,4,FALSE)</f>
        <v>#N/A</v>
      </c>
      <c r="X140" s="10"/>
      <c r="Y140" s="10"/>
      <c r="Z140" s="101"/>
      <c r="AA140" s="99"/>
      <c r="AB140" s="99"/>
      <c r="AC140" s="102"/>
      <c r="AD140" s="102"/>
      <c r="AE140" s="102"/>
      <c r="AF140" s="102"/>
      <c r="AG140" s="99"/>
      <c r="AH140" s="99"/>
      <c r="AI140" s="99"/>
      <c r="AJ140" s="99"/>
      <c r="AK140" s="99"/>
      <c r="AL140" s="10"/>
      <c r="AM140" s="99"/>
      <c r="AN140" s="103"/>
      <c r="AO140" s="16"/>
    </row>
    <row r="141" spans="1:41" x14ac:dyDescent="0.25">
      <c r="A141" s="86"/>
      <c r="B141" s="92"/>
      <c r="C141" s="99"/>
      <c r="D141" s="10"/>
      <c r="E141" s="10"/>
      <c r="F141" s="99"/>
      <c r="G141" s="10"/>
      <c r="H141" s="10"/>
      <c r="I141" s="100"/>
      <c r="J141" s="93"/>
      <c r="K141" s="92"/>
      <c r="L141" s="99"/>
      <c r="M141" s="10"/>
      <c r="N141" s="10"/>
      <c r="O141" s="99"/>
      <c r="P141" s="10"/>
      <c r="Q141" s="10"/>
      <c r="R141" s="100"/>
      <c r="S141" s="93"/>
      <c r="T141" s="100"/>
      <c r="U141" s="105" t="e">
        <f>VLOOKUP(T141,Species!$A$2:$D$2230,2,FALSE)</f>
        <v>#N/A</v>
      </c>
      <c r="V141" s="105" t="e">
        <f>VLOOKUP(T141,Species!$A$2:$D$2230,3,FALSE)</f>
        <v>#N/A</v>
      </c>
      <c r="W141" s="105" t="e">
        <f>VLOOKUP(T141,Species!$A$2:$D$2230,4,FALSE)</f>
        <v>#N/A</v>
      </c>
      <c r="X141" s="10"/>
      <c r="Y141" s="10"/>
      <c r="Z141" s="101"/>
      <c r="AA141" s="99"/>
      <c r="AB141" s="99"/>
      <c r="AC141" s="102"/>
      <c r="AD141" s="102"/>
      <c r="AE141" s="102"/>
      <c r="AF141" s="102"/>
      <c r="AG141" s="99"/>
      <c r="AH141" s="99"/>
      <c r="AI141" s="99"/>
      <c r="AJ141" s="99"/>
      <c r="AK141" s="99"/>
      <c r="AL141" s="10"/>
      <c r="AM141" s="99"/>
      <c r="AN141" s="103"/>
      <c r="AO141" s="16"/>
    </row>
    <row r="142" spans="1:41" x14ac:dyDescent="0.25">
      <c r="A142" s="86"/>
      <c r="B142" s="92"/>
      <c r="C142" s="99"/>
      <c r="D142" s="10"/>
      <c r="E142" s="10"/>
      <c r="F142" s="99"/>
      <c r="G142" s="10"/>
      <c r="H142" s="10"/>
      <c r="I142" s="100"/>
      <c r="J142" s="93"/>
      <c r="K142" s="92"/>
      <c r="L142" s="99"/>
      <c r="M142" s="10"/>
      <c r="N142" s="10"/>
      <c r="O142" s="99"/>
      <c r="P142" s="10"/>
      <c r="Q142" s="10"/>
      <c r="R142" s="100"/>
      <c r="S142" s="93"/>
      <c r="T142" s="100"/>
      <c r="U142" s="105" t="e">
        <f>VLOOKUP(T142,Species!$A$2:$D$2230,2,FALSE)</f>
        <v>#N/A</v>
      </c>
      <c r="V142" s="105" t="e">
        <f>VLOOKUP(T142,Species!$A$2:$D$2230,3,FALSE)</f>
        <v>#N/A</v>
      </c>
      <c r="W142" s="105" t="e">
        <f>VLOOKUP(T142,Species!$A$2:$D$2230,4,FALSE)</f>
        <v>#N/A</v>
      </c>
      <c r="X142" s="10"/>
      <c r="Y142" s="10"/>
      <c r="Z142" s="101"/>
      <c r="AA142" s="99"/>
      <c r="AB142" s="99"/>
      <c r="AC142" s="102"/>
      <c r="AD142" s="102"/>
      <c r="AE142" s="102"/>
      <c r="AF142" s="102"/>
      <c r="AG142" s="99"/>
      <c r="AH142" s="99"/>
      <c r="AI142" s="99"/>
      <c r="AJ142" s="99"/>
      <c r="AK142" s="99"/>
      <c r="AL142" s="10"/>
      <c r="AM142" s="99"/>
      <c r="AN142" s="103"/>
      <c r="AO142" s="16"/>
    </row>
    <row r="143" spans="1:41" x14ac:dyDescent="0.25">
      <c r="A143" s="86"/>
      <c r="B143" s="92"/>
      <c r="C143" s="99"/>
      <c r="D143" s="10"/>
      <c r="E143" s="10"/>
      <c r="F143" s="99"/>
      <c r="G143" s="10"/>
      <c r="H143" s="10"/>
      <c r="I143" s="100"/>
      <c r="J143" s="93"/>
      <c r="K143" s="92"/>
      <c r="L143" s="99"/>
      <c r="M143" s="10"/>
      <c r="N143" s="10"/>
      <c r="O143" s="99"/>
      <c r="P143" s="10"/>
      <c r="Q143" s="10"/>
      <c r="R143" s="100"/>
      <c r="S143" s="93"/>
      <c r="T143" s="100"/>
      <c r="U143" s="105" t="e">
        <f>VLOOKUP(T143,Species!$A$2:$D$2230,2,FALSE)</f>
        <v>#N/A</v>
      </c>
      <c r="V143" s="105" t="e">
        <f>VLOOKUP(T143,Species!$A$2:$D$2230,3,FALSE)</f>
        <v>#N/A</v>
      </c>
      <c r="W143" s="105" t="e">
        <f>VLOOKUP(T143,Species!$A$2:$D$2230,4,FALSE)</f>
        <v>#N/A</v>
      </c>
      <c r="X143" s="10"/>
      <c r="Y143" s="10"/>
      <c r="Z143" s="101"/>
      <c r="AA143" s="99"/>
      <c r="AB143" s="99"/>
      <c r="AC143" s="102"/>
      <c r="AD143" s="102"/>
      <c r="AE143" s="102"/>
      <c r="AF143" s="102"/>
      <c r="AG143" s="99"/>
      <c r="AH143" s="99"/>
      <c r="AI143" s="99"/>
      <c r="AJ143" s="99"/>
      <c r="AK143" s="99"/>
      <c r="AL143" s="10"/>
      <c r="AM143" s="99"/>
      <c r="AN143" s="103"/>
      <c r="AO143" s="16"/>
    </row>
    <row r="144" spans="1:41" x14ac:dyDescent="0.25">
      <c r="A144" s="86"/>
      <c r="B144" s="92"/>
      <c r="C144" s="99"/>
      <c r="D144" s="10"/>
      <c r="E144" s="10"/>
      <c r="F144" s="99"/>
      <c r="G144" s="10"/>
      <c r="H144" s="10"/>
      <c r="I144" s="100"/>
      <c r="J144" s="93"/>
      <c r="K144" s="92"/>
      <c r="L144" s="99"/>
      <c r="M144" s="10"/>
      <c r="N144" s="10"/>
      <c r="O144" s="99"/>
      <c r="P144" s="10"/>
      <c r="Q144" s="10"/>
      <c r="R144" s="100"/>
      <c r="S144" s="93"/>
      <c r="T144" s="100"/>
      <c r="U144" s="105" t="e">
        <f>VLOOKUP(T144,Species!$A$2:$D$2230,2,FALSE)</f>
        <v>#N/A</v>
      </c>
      <c r="V144" s="105" t="e">
        <f>VLOOKUP(T144,Species!$A$2:$D$2230,3,FALSE)</f>
        <v>#N/A</v>
      </c>
      <c r="W144" s="105" t="e">
        <f>VLOOKUP(T144,Species!$A$2:$D$2230,4,FALSE)</f>
        <v>#N/A</v>
      </c>
      <c r="X144" s="10"/>
      <c r="Y144" s="10"/>
      <c r="Z144" s="101"/>
      <c r="AA144" s="99"/>
      <c r="AB144" s="99"/>
      <c r="AC144" s="102"/>
      <c r="AD144" s="102"/>
      <c r="AE144" s="102"/>
      <c r="AF144" s="102"/>
      <c r="AG144" s="99"/>
      <c r="AH144" s="99"/>
      <c r="AI144" s="99"/>
      <c r="AJ144" s="99"/>
      <c r="AK144" s="99"/>
      <c r="AL144" s="10"/>
      <c r="AM144" s="99"/>
      <c r="AN144" s="103"/>
      <c r="AO144" s="16"/>
    </row>
    <row r="145" spans="1:41" x14ac:dyDescent="0.25">
      <c r="A145" s="86"/>
      <c r="B145" s="92"/>
      <c r="C145" s="99"/>
      <c r="D145" s="10"/>
      <c r="E145" s="10"/>
      <c r="F145" s="99"/>
      <c r="G145" s="10"/>
      <c r="H145" s="10"/>
      <c r="I145" s="100"/>
      <c r="J145" s="93"/>
      <c r="K145" s="92"/>
      <c r="L145" s="99"/>
      <c r="M145" s="10"/>
      <c r="N145" s="10"/>
      <c r="O145" s="99"/>
      <c r="P145" s="10"/>
      <c r="Q145" s="10"/>
      <c r="R145" s="100"/>
      <c r="S145" s="93"/>
      <c r="T145" s="100"/>
      <c r="U145" s="105" t="e">
        <f>VLOOKUP(T145,Species!$A$2:$D$2230,2,FALSE)</f>
        <v>#N/A</v>
      </c>
      <c r="V145" s="105" t="e">
        <f>VLOOKUP(T145,Species!$A$2:$D$2230,3,FALSE)</f>
        <v>#N/A</v>
      </c>
      <c r="W145" s="105" t="e">
        <f>VLOOKUP(T145,Species!$A$2:$D$2230,4,FALSE)</f>
        <v>#N/A</v>
      </c>
      <c r="X145" s="10"/>
      <c r="Y145" s="10"/>
      <c r="Z145" s="101"/>
      <c r="AA145" s="99"/>
      <c r="AB145" s="99"/>
      <c r="AC145" s="102"/>
      <c r="AD145" s="102"/>
      <c r="AE145" s="102"/>
      <c r="AF145" s="102"/>
      <c r="AG145" s="99"/>
      <c r="AH145" s="99"/>
      <c r="AI145" s="99"/>
      <c r="AJ145" s="99"/>
      <c r="AK145" s="99"/>
      <c r="AL145" s="10"/>
      <c r="AM145" s="99"/>
      <c r="AN145" s="103"/>
      <c r="AO145" s="16"/>
    </row>
    <row r="146" spans="1:41" x14ac:dyDescent="0.25">
      <c r="A146" s="86"/>
      <c r="B146" s="92"/>
      <c r="C146" s="99"/>
      <c r="D146" s="10"/>
      <c r="E146" s="10"/>
      <c r="F146" s="99"/>
      <c r="G146" s="10"/>
      <c r="H146" s="10"/>
      <c r="I146" s="100"/>
      <c r="J146" s="93"/>
      <c r="K146" s="92"/>
      <c r="L146" s="99"/>
      <c r="M146" s="10"/>
      <c r="N146" s="10"/>
      <c r="O146" s="99"/>
      <c r="P146" s="10"/>
      <c r="Q146" s="10"/>
      <c r="R146" s="100"/>
      <c r="S146" s="93"/>
      <c r="T146" s="100"/>
      <c r="U146" s="105" t="e">
        <f>VLOOKUP(T146,Species!$A$2:$D$2230,2,FALSE)</f>
        <v>#N/A</v>
      </c>
      <c r="V146" s="105" t="e">
        <f>VLOOKUP(T146,Species!$A$2:$D$2230,3,FALSE)</f>
        <v>#N/A</v>
      </c>
      <c r="W146" s="105" t="e">
        <f>VLOOKUP(T146,Species!$A$2:$D$2230,4,FALSE)</f>
        <v>#N/A</v>
      </c>
      <c r="X146" s="10"/>
      <c r="Y146" s="10"/>
      <c r="Z146" s="101"/>
      <c r="AA146" s="99"/>
      <c r="AB146" s="99"/>
      <c r="AC146" s="102"/>
      <c r="AD146" s="102"/>
      <c r="AE146" s="102"/>
      <c r="AF146" s="102"/>
      <c r="AG146" s="99"/>
      <c r="AH146" s="99"/>
      <c r="AI146" s="99"/>
      <c r="AJ146" s="99"/>
      <c r="AK146" s="99"/>
      <c r="AL146" s="10"/>
      <c r="AM146" s="99"/>
      <c r="AN146" s="103"/>
      <c r="AO146" s="16"/>
    </row>
    <row r="147" spans="1:41" x14ac:dyDescent="0.25">
      <c r="A147" s="87"/>
      <c r="B147" s="94"/>
      <c r="C147" s="99"/>
      <c r="D147" s="54"/>
      <c r="E147" s="54"/>
      <c r="F147" s="99"/>
      <c r="G147" s="54"/>
      <c r="H147" s="54"/>
      <c r="I147" s="100"/>
      <c r="J147" s="95"/>
      <c r="K147" s="94"/>
      <c r="L147" s="99"/>
      <c r="M147" s="54"/>
      <c r="N147" s="54"/>
      <c r="O147" s="99"/>
      <c r="P147" s="54"/>
      <c r="Q147" s="54"/>
      <c r="R147" s="100"/>
      <c r="S147" s="95"/>
      <c r="T147" s="100"/>
      <c r="U147" s="105" t="e">
        <f>VLOOKUP(T147,Species!$A$2:$D$2230,2,FALSE)</f>
        <v>#N/A</v>
      </c>
      <c r="V147" s="105" t="e">
        <f>VLOOKUP(T147,Species!$A$2:$D$2230,3,FALSE)</f>
        <v>#N/A</v>
      </c>
      <c r="W147" s="105" t="e">
        <f>VLOOKUP(T147,Species!$A$2:$D$2230,4,FALSE)</f>
        <v>#N/A</v>
      </c>
      <c r="X147" s="54"/>
      <c r="Y147" s="54"/>
      <c r="Z147" s="101"/>
      <c r="AA147" s="99"/>
      <c r="AB147" s="99"/>
      <c r="AC147" s="102"/>
      <c r="AD147" s="102"/>
      <c r="AE147" s="102"/>
      <c r="AF147" s="102"/>
      <c r="AG147" s="102"/>
      <c r="AH147" s="102"/>
      <c r="AI147" s="102"/>
      <c r="AJ147" s="102"/>
      <c r="AK147" s="102"/>
      <c r="AL147" s="54"/>
      <c r="AM147" s="102"/>
      <c r="AN147" s="104"/>
      <c r="AO147" s="16"/>
    </row>
    <row r="148" spans="1:41" x14ac:dyDescent="0.25">
      <c r="A148" s="86"/>
      <c r="B148" s="92"/>
      <c r="C148" s="99"/>
      <c r="D148" s="10"/>
      <c r="E148" s="10"/>
      <c r="F148" s="99"/>
      <c r="G148" s="10"/>
      <c r="H148" s="10"/>
      <c r="I148" s="100"/>
      <c r="J148" s="93"/>
      <c r="K148" s="92"/>
      <c r="L148" s="99"/>
      <c r="M148" s="10"/>
      <c r="N148" s="10"/>
      <c r="O148" s="99"/>
      <c r="P148" s="10"/>
      <c r="Q148" s="10"/>
      <c r="R148" s="100"/>
      <c r="S148" s="93"/>
      <c r="T148" s="100"/>
      <c r="U148" s="105" t="e">
        <f>VLOOKUP(T148,Species!$A$2:$D$2230,2,FALSE)</f>
        <v>#N/A</v>
      </c>
      <c r="V148" s="105" t="e">
        <f>VLOOKUP(T148,Species!$A$2:$D$2230,3,FALSE)</f>
        <v>#N/A</v>
      </c>
      <c r="W148" s="105" t="e">
        <f>VLOOKUP(T148,Species!$A$2:$D$2230,4,FALSE)</f>
        <v>#N/A</v>
      </c>
      <c r="X148" s="10"/>
      <c r="Y148" s="10"/>
      <c r="Z148" s="101"/>
      <c r="AA148" s="99"/>
      <c r="AB148" s="99"/>
      <c r="AC148" s="102"/>
      <c r="AD148" s="102"/>
      <c r="AE148" s="102"/>
      <c r="AF148" s="102"/>
      <c r="AG148" s="99"/>
      <c r="AH148" s="99"/>
      <c r="AI148" s="99"/>
      <c r="AJ148" s="99"/>
      <c r="AK148" s="99"/>
      <c r="AL148" s="10"/>
      <c r="AM148" s="99"/>
      <c r="AN148" s="103"/>
      <c r="AO148" s="16"/>
    </row>
    <row r="149" spans="1:41" x14ac:dyDescent="0.25">
      <c r="A149" s="86"/>
      <c r="B149" s="92"/>
      <c r="C149" s="99"/>
      <c r="D149" s="10"/>
      <c r="E149" s="10"/>
      <c r="F149" s="99"/>
      <c r="G149" s="10"/>
      <c r="H149" s="10"/>
      <c r="I149" s="100"/>
      <c r="J149" s="93"/>
      <c r="K149" s="92"/>
      <c r="L149" s="99"/>
      <c r="M149" s="10"/>
      <c r="N149" s="10"/>
      <c r="O149" s="99"/>
      <c r="P149" s="10"/>
      <c r="Q149" s="10"/>
      <c r="R149" s="100"/>
      <c r="S149" s="93"/>
      <c r="T149" s="100"/>
      <c r="U149" s="105" t="e">
        <f>VLOOKUP(T149,Species!$A$2:$D$2230,2,FALSE)</f>
        <v>#N/A</v>
      </c>
      <c r="V149" s="105" t="e">
        <f>VLOOKUP(T149,Species!$A$2:$D$2230,3,FALSE)</f>
        <v>#N/A</v>
      </c>
      <c r="W149" s="105" t="e">
        <f>VLOOKUP(T149,Species!$A$2:$D$2230,4,FALSE)</f>
        <v>#N/A</v>
      </c>
      <c r="X149" s="10"/>
      <c r="Y149" s="10"/>
      <c r="Z149" s="101"/>
      <c r="AA149" s="99"/>
      <c r="AB149" s="99"/>
      <c r="AC149" s="102"/>
      <c r="AD149" s="102"/>
      <c r="AE149" s="102"/>
      <c r="AF149" s="102"/>
      <c r="AG149" s="99"/>
      <c r="AH149" s="99"/>
      <c r="AI149" s="99"/>
      <c r="AJ149" s="99"/>
      <c r="AK149" s="99"/>
      <c r="AL149" s="10"/>
      <c r="AM149" s="99"/>
      <c r="AN149" s="103"/>
      <c r="AO149" s="16"/>
    </row>
    <row r="150" spans="1:41" x14ac:dyDescent="0.25">
      <c r="A150" s="86"/>
      <c r="B150" s="92"/>
      <c r="C150" s="99"/>
      <c r="D150" s="10"/>
      <c r="E150" s="10"/>
      <c r="F150" s="99"/>
      <c r="G150" s="10"/>
      <c r="H150" s="10"/>
      <c r="I150" s="100"/>
      <c r="J150" s="93"/>
      <c r="K150" s="92"/>
      <c r="L150" s="99"/>
      <c r="M150" s="10"/>
      <c r="N150" s="10"/>
      <c r="O150" s="99"/>
      <c r="P150" s="10"/>
      <c r="Q150" s="10"/>
      <c r="R150" s="100"/>
      <c r="S150" s="93"/>
      <c r="T150" s="100"/>
      <c r="U150" s="105" t="e">
        <f>VLOOKUP(T150,Species!$A$2:$D$2230,2,FALSE)</f>
        <v>#N/A</v>
      </c>
      <c r="V150" s="105" t="e">
        <f>VLOOKUP(T150,Species!$A$2:$D$2230,3,FALSE)</f>
        <v>#N/A</v>
      </c>
      <c r="W150" s="105" t="e">
        <f>VLOOKUP(T150,Species!$A$2:$D$2230,4,FALSE)</f>
        <v>#N/A</v>
      </c>
      <c r="X150" s="10"/>
      <c r="Y150" s="10"/>
      <c r="Z150" s="101"/>
      <c r="AA150" s="99"/>
      <c r="AB150" s="99"/>
      <c r="AC150" s="102"/>
      <c r="AD150" s="102"/>
      <c r="AE150" s="102"/>
      <c r="AF150" s="102"/>
      <c r="AG150" s="99"/>
      <c r="AH150" s="99"/>
      <c r="AI150" s="99"/>
      <c r="AJ150" s="99"/>
      <c r="AK150" s="99"/>
      <c r="AL150" s="10"/>
      <c r="AM150" s="99"/>
      <c r="AN150" s="103"/>
      <c r="AO150" s="16"/>
    </row>
    <row r="151" spans="1:41" x14ac:dyDescent="0.25">
      <c r="A151" s="86"/>
      <c r="B151" s="92"/>
      <c r="C151" s="99"/>
      <c r="D151" s="10"/>
      <c r="E151" s="10"/>
      <c r="F151" s="99"/>
      <c r="G151" s="10"/>
      <c r="H151" s="10"/>
      <c r="I151" s="100"/>
      <c r="J151" s="93"/>
      <c r="K151" s="92"/>
      <c r="L151" s="99"/>
      <c r="M151" s="10"/>
      <c r="N151" s="10"/>
      <c r="O151" s="99"/>
      <c r="P151" s="10"/>
      <c r="Q151" s="10"/>
      <c r="R151" s="100"/>
      <c r="S151" s="93"/>
      <c r="T151" s="100"/>
      <c r="U151" s="105" t="e">
        <f>VLOOKUP(T151,Species!$A$2:$D$2230,2,FALSE)</f>
        <v>#N/A</v>
      </c>
      <c r="V151" s="105" t="e">
        <f>VLOOKUP(T151,Species!$A$2:$D$2230,3,FALSE)</f>
        <v>#N/A</v>
      </c>
      <c r="W151" s="105" t="e">
        <f>VLOOKUP(T151,Species!$A$2:$D$2230,4,FALSE)</f>
        <v>#N/A</v>
      </c>
      <c r="X151" s="10"/>
      <c r="Y151" s="10"/>
      <c r="Z151" s="101"/>
      <c r="AA151" s="99"/>
      <c r="AB151" s="99"/>
      <c r="AC151" s="102"/>
      <c r="AD151" s="102"/>
      <c r="AE151" s="102"/>
      <c r="AF151" s="102"/>
      <c r="AG151" s="99"/>
      <c r="AH151" s="99"/>
      <c r="AI151" s="99"/>
      <c r="AJ151" s="99"/>
      <c r="AK151" s="99"/>
      <c r="AL151" s="10"/>
      <c r="AM151" s="99"/>
      <c r="AN151" s="103"/>
      <c r="AO151" s="16"/>
    </row>
    <row r="152" spans="1:41" x14ac:dyDescent="0.25">
      <c r="A152" s="86"/>
      <c r="B152" s="92"/>
      <c r="C152" s="99"/>
      <c r="D152" s="10"/>
      <c r="E152" s="10"/>
      <c r="F152" s="99"/>
      <c r="G152" s="10"/>
      <c r="H152" s="10"/>
      <c r="I152" s="100"/>
      <c r="J152" s="93"/>
      <c r="K152" s="92"/>
      <c r="L152" s="99"/>
      <c r="M152" s="10"/>
      <c r="N152" s="10"/>
      <c r="O152" s="99"/>
      <c r="P152" s="10"/>
      <c r="Q152" s="10"/>
      <c r="R152" s="100"/>
      <c r="S152" s="93"/>
      <c r="T152" s="100"/>
      <c r="U152" s="105" t="e">
        <f>VLOOKUP(T152,Species!$A$2:$D$2230,2,FALSE)</f>
        <v>#N/A</v>
      </c>
      <c r="V152" s="105" t="e">
        <f>VLOOKUP(T152,Species!$A$2:$D$2230,3,FALSE)</f>
        <v>#N/A</v>
      </c>
      <c r="W152" s="105" t="e">
        <f>VLOOKUP(T152,Species!$A$2:$D$2230,4,FALSE)</f>
        <v>#N/A</v>
      </c>
      <c r="X152" s="10"/>
      <c r="Y152" s="10"/>
      <c r="Z152" s="101"/>
      <c r="AA152" s="99"/>
      <c r="AB152" s="99"/>
      <c r="AC152" s="102"/>
      <c r="AD152" s="102"/>
      <c r="AE152" s="102"/>
      <c r="AF152" s="102"/>
      <c r="AG152" s="99"/>
      <c r="AH152" s="99"/>
      <c r="AI152" s="99"/>
      <c r="AJ152" s="99"/>
      <c r="AK152" s="99"/>
      <c r="AL152" s="10"/>
      <c r="AM152" s="99"/>
      <c r="AN152" s="103"/>
      <c r="AO152" s="16"/>
    </row>
    <row r="153" spans="1:41" x14ac:dyDescent="0.25">
      <c r="A153" s="86"/>
      <c r="B153" s="92"/>
      <c r="C153" s="99"/>
      <c r="D153" s="10"/>
      <c r="E153" s="10"/>
      <c r="F153" s="99"/>
      <c r="G153" s="10"/>
      <c r="H153" s="10"/>
      <c r="I153" s="100"/>
      <c r="J153" s="93"/>
      <c r="K153" s="92"/>
      <c r="L153" s="99"/>
      <c r="M153" s="10"/>
      <c r="N153" s="10"/>
      <c r="O153" s="99"/>
      <c r="P153" s="10"/>
      <c r="Q153" s="10"/>
      <c r="R153" s="100"/>
      <c r="S153" s="93"/>
      <c r="T153" s="100"/>
      <c r="U153" s="105" t="e">
        <f>VLOOKUP(T153,Species!$A$2:$D$2230,2,FALSE)</f>
        <v>#N/A</v>
      </c>
      <c r="V153" s="105" t="e">
        <f>VLOOKUP(T153,Species!$A$2:$D$2230,3,FALSE)</f>
        <v>#N/A</v>
      </c>
      <c r="W153" s="105" t="e">
        <f>VLOOKUP(T153,Species!$A$2:$D$2230,4,FALSE)</f>
        <v>#N/A</v>
      </c>
      <c r="X153" s="10"/>
      <c r="Y153" s="10"/>
      <c r="Z153" s="101"/>
      <c r="AA153" s="99"/>
      <c r="AB153" s="99"/>
      <c r="AC153" s="102"/>
      <c r="AD153" s="102"/>
      <c r="AE153" s="102"/>
      <c r="AF153" s="102"/>
      <c r="AG153" s="99"/>
      <c r="AH153" s="99"/>
      <c r="AI153" s="99"/>
      <c r="AJ153" s="99"/>
      <c r="AK153" s="99"/>
      <c r="AL153" s="10"/>
      <c r="AM153" s="99"/>
      <c r="AN153" s="103"/>
      <c r="AO153" s="16"/>
    </row>
    <row r="154" spans="1:41" x14ac:dyDescent="0.25">
      <c r="A154" s="86"/>
      <c r="B154" s="92"/>
      <c r="C154" s="99"/>
      <c r="D154" s="10"/>
      <c r="E154" s="10"/>
      <c r="F154" s="99"/>
      <c r="G154" s="10"/>
      <c r="H154" s="10"/>
      <c r="I154" s="100"/>
      <c r="J154" s="93"/>
      <c r="K154" s="92"/>
      <c r="L154" s="99"/>
      <c r="M154" s="10"/>
      <c r="N154" s="10"/>
      <c r="O154" s="99"/>
      <c r="P154" s="10"/>
      <c r="Q154" s="10"/>
      <c r="R154" s="100"/>
      <c r="S154" s="93"/>
      <c r="T154" s="100"/>
      <c r="U154" s="105" t="e">
        <f>VLOOKUP(T154,Species!$A$2:$D$2230,2,FALSE)</f>
        <v>#N/A</v>
      </c>
      <c r="V154" s="105" t="e">
        <f>VLOOKUP(T154,Species!$A$2:$D$2230,3,FALSE)</f>
        <v>#N/A</v>
      </c>
      <c r="W154" s="105" t="e">
        <f>VLOOKUP(T154,Species!$A$2:$D$2230,4,FALSE)</f>
        <v>#N/A</v>
      </c>
      <c r="X154" s="10"/>
      <c r="Y154" s="10"/>
      <c r="Z154" s="101"/>
      <c r="AA154" s="99"/>
      <c r="AB154" s="99"/>
      <c r="AC154" s="102"/>
      <c r="AD154" s="102"/>
      <c r="AE154" s="102"/>
      <c r="AF154" s="102"/>
      <c r="AG154" s="99"/>
      <c r="AH154" s="99"/>
      <c r="AI154" s="99"/>
      <c r="AJ154" s="99"/>
      <c r="AK154" s="99"/>
      <c r="AL154" s="10"/>
      <c r="AM154" s="99"/>
      <c r="AN154" s="103"/>
      <c r="AO154" s="16"/>
    </row>
    <row r="155" spans="1:41" x14ac:dyDescent="0.25">
      <c r="A155" s="86"/>
      <c r="B155" s="92"/>
      <c r="C155" s="99"/>
      <c r="D155" s="10"/>
      <c r="E155" s="10"/>
      <c r="F155" s="99"/>
      <c r="G155" s="10"/>
      <c r="H155" s="10"/>
      <c r="I155" s="100"/>
      <c r="J155" s="93"/>
      <c r="K155" s="92"/>
      <c r="L155" s="99"/>
      <c r="M155" s="10"/>
      <c r="N155" s="10"/>
      <c r="O155" s="99"/>
      <c r="P155" s="10"/>
      <c r="Q155" s="10"/>
      <c r="R155" s="100"/>
      <c r="S155" s="93"/>
      <c r="T155" s="100"/>
      <c r="U155" s="105" t="e">
        <f>VLOOKUP(T155,Species!$A$2:$D$2230,2,FALSE)</f>
        <v>#N/A</v>
      </c>
      <c r="V155" s="105" t="e">
        <f>VLOOKUP(T155,Species!$A$2:$D$2230,3,FALSE)</f>
        <v>#N/A</v>
      </c>
      <c r="W155" s="105" t="e">
        <f>VLOOKUP(T155,Species!$A$2:$D$2230,4,FALSE)</f>
        <v>#N/A</v>
      </c>
      <c r="X155" s="10"/>
      <c r="Y155" s="10"/>
      <c r="Z155" s="101"/>
      <c r="AA155" s="99"/>
      <c r="AB155" s="99"/>
      <c r="AC155" s="102"/>
      <c r="AD155" s="102"/>
      <c r="AE155" s="102"/>
      <c r="AF155" s="102"/>
      <c r="AG155" s="99"/>
      <c r="AH155" s="99"/>
      <c r="AI155" s="99"/>
      <c r="AJ155" s="99"/>
      <c r="AK155" s="99"/>
      <c r="AL155" s="10"/>
      <c r="AM155" s="99"/>
      <c r="AN155" s="103"/>
      <c r="AO155" s="16"/>
    </row>
    <row r="156" spans="1:41" x14ac:dyDescent="0.25">
      <c r="A156" s="87"/>
      <c r="B156" s="94"/>
      <c r="C156" s="99"/>
      <c r="D156" s="54"/>
      <c r="E156" s="54"/>
      <c r="F156" s="99"/>
      <c r="G156" s="54"/>
      <c r="H156" s="54"/>
      <c r="I156" s="100"/>
      <c r="J156" s="95"/>
      <c r="K156" s="94"/>
      <c r="L156" s="99"/>
      <c r="M156" s="54"/>
      <c r="N156" s="54"/>
      <c r="O156" s="99"/>
      <c r="P156" s="54"/>
      <c r="Q156" s="54"/>
      <c r="R156" s="100"/>
      <c r="S156" s="95"/>
      <c r="T156" s="100"/>
      <c r="U156" s="105" t="e">
        <f>VLOOKUP(T156,Species!$A$2:$D$2230,2,FALSE)</f>
        <v>#N/A</v>
      </c>
      <c r="V156" s="105" t="e">
        <f>VLOOKUP(T156,Species!$A$2:$D$2230,3,FALSE)</f>
        <v>#N/A</v>
      </c>
      <c r="W156" s="105" t="e">
        <f>VLOOKUP(T156,Species!$A$2:$D$2230,4,FALSE)</f>
        <v>#N/A</v>
      </c>
      <c r="X156" s="54"/>
      <c r="Y156" s="54"/>
      <c r="Z156" s="101"/>
      <c r="AA156" s="99"/>
      <c r="AB156" s="99"/>
      <c r="AC156" s="102"/>
      <c r="AD156" s="102"/>
      <c r="AE156" s="102"/>
      <c r="AF156" s="102"/>
      <c r="AG156" s="102"/>
      <c r="AH156" s="102"/>
      <c r="AI156" s="102"/>
      <c r="AJ156" s="102"/>
      <c r="AK156" s="102"/>
      <c r="AL156" s="54"/>
      <c r="AM156" s="102"/>
      <c r="AN156" s="104"/>
      <c r="AO156" s="16"/>
    </row>
    <row r="157" spans="1:41" x14ac:dyDescent="0.25">
      <c r="A157" s="86"/>
      <c r="B157" s="92"/>
      <c r="C157" s="99"/>
      <c r="D157" s="10"/>
      <c r="E157" s="10"/>
      <c r="F157" s="99"/>
      <c r="G157" s="10"/>
      <c r="H157" s="10"/>
      <c r="I157" s="100"/>
      <c r="J157" s="93"/>
      <c r="K157" s="92"/>
      <c r="L157" s="99"/>
      <c r="M157" s="10"/>
      <c r="N157" s="10"/>
      <c r="O157" s="99"/>
      <c r="P157" s="10"/>
      <c r="Q157" s="10"/>
      <c r="R157" s="100"/>
      <c r="S157" s="93"/>
      <c r="T157" s="100"/>
      <c r="U157" s="105" t="e">
        <f>VLOOKUP(T157,Species!$A$2:$D$2230,2,FALSE)</f>
        <v>#N/A</v>
      </c>
      <c r="V157" s="105" t="e">
        <f>VLOOKUP(T157,Species!$A$2:$D$2230,3,FALSE)</f>
        <v>#N/A</v>
      </c>
      <c r="W157" s="105" t="e">
        <f>VLOOKUP(T157,Species!$A$2:$D$2230,4,FALSE)</f>
        <v>#N/A</v>
      </c>
      <c r="X157" s="10"/>
      <c r="Y157" s="10"/>
      <c r="Z157" s="101"/>
      <c r="AA157" s="99"/>
      <c r="AB157" s="99"/>
      <c r="AC157" s="102"/>
      <c r="AD157" s="102"/>
      <c r="AE157" s="102"/>
      <c r="AF157" s="102"/>
      <c r="AG157" s="99"/>
      <c r="AH157" s="99"/>
      <c r="AI157" s="99"/>
      <c r="AJ157" s="99"/>
      <c r="AK157" s="99"/>
      <c r="AL157" s="10"/>
      <c r="AM157" s="99"/>
      <c r="AN157" s="103"/>
      <c r="AO157" s="16"/>
    </row>
    <row r="158" spans="1:41" x14ac:dyDescent="0.25">
      <c r="A158" s="86"/>
      <c r="B158" s="92"/>
      <c r="C158" s="99"/>
      <c r="D158" s="10"/>
      <c r="E158" s="10"/>
      <c r="F158" s="99"/>
      <c r="G158" s="10"/>
      <c r="H158" s="10"/>
      <c r="I158" s="100"/>
      <c r="J158" s="93"/>
      <c r="K158" s="92"/>
      <c r="L158" s="99"/>
      <c r="M158" s="10"/>
      <c r="N158" s="10"/>
      <c r="O158" s="99"/>
      <c r="P158" s="10"/>
      <c r="Q158" s="10"/>
      <c r="R158" s="100"/>
      <c r="S158" s="93"/>
      <c r="T158" s="100"/>
      <c r="U158" s="105" t="e">
        <f>VLOOKUP(T158,Species!$A$2:$D$2230,2,FALSE)</f>
        <v>#N/A</v>
      </c>
      <c r="V158" s="105" t="e">
        <f>VLOOKUP(T158,Species!$A$2:$D$2230,3,FALSE)</f>
        <v>#N/A</v>
      </c>
      <c r="W158" s="105" t="e">
        <f>VLOOKUP(T158,Species!$A$2:$D$2230,4,FALSE)</f>
        <v>#N/A</v>
      </c>
      <c r="X158" s="10"/>
      <c r="Y158" s="10"/>
      <c r="Z158" s="101"/>
      <c r="AA158" s="99"/>
      <c r="AB158" s="99"/>
      <c r="AC158" s="102"/>
      <c r="AD158" s="102"/>
      <c r="AE158" s="102"/>
      <c r="AF158" s="102"/>
      <c r="AG158" s="99"/>
      <c r="AH158" s="99"/>
      <c r="AI158" s="99"/>
      <c r="AJ158" s="99"/>
      <c r="AK158" s="99"/>
      <c r="AL158" s="10"/>
      <c r="AM158" s="99"/>
      <c r="AN158" s="103"/>
      <c r="AO158" s="16"/>
    </row>
    <row r="159" spans="1:41" x14ac:dyDescent="0.25">
      <c r="A159" s="86"/>
      <c r="B159" s="92"/>
      <c r="C159" s="99"/>
      <c r="D159" s="10"/>
      <c r="E159" s="10"/>
      <c r="F159" s="99"/>
      <c r="G159" s="10"/>
      <c r="H159" s="10"/>
      <c r="I159" s="100"/>
      <c r="J159" s="93"/>
      <c r="K159" s="92"/>
      <c r="L159" s="99"/>
      <c r="M159" s="10"/>
      <c r="N159" s="10"/>
      <c r="O159" s="99"/>
      <c r="P159" s="10"/>
      <c r="Q159" s="10"/>
      <c r="R159" s="100"/>
      <c r="S159" s="93"/>
      <c r="T159" s="100"/>
      <c r="U159" s="105" t="e">
        <f>VLOOKUP(T159,Species!$A$2:$D$2230,2,FALSE)</f>
        <v>#N/A</v>
      </c>
      <c r="V159" s="105" t="e">
        <f>VLOOKUP(T159,Species!$A$2:$D$2230,3,FALSE)</f>
        <v>#N/A</v>
      </c>
      <c r="W159" s="105" t="e">
        <f>VLOOKUP(T159,Species!$A$2:$D$2230,4,FALSE)</f>
        <v>#N/A</v>
      </c>
      <c r="X159" s="10"/>
      <c r="Y159" s="10"/>
      <c r="Z159" s="101"/>
      <c r="AA159" s="99"/>
      <c r="AB159" s="99"/>
      <c r="AC159" s="102"/>
      <c r="AD159" s="102"/>
      <c r="AE159" s="102"/>
      <c r="AF159" s="102"/>
      <c r="AG159" s="99"/>
      <c r="AH159" s="99"/>
      <c r="AI159" s="99"/>
      <c r="AJ159" s="99"/>
      <c r="AK159" s="99"/>
      <c r="AL159" s="10"/>
      <c r="AM159" s="99"/>
      <c r="AN159" s="103"/>
      <c r="AO159" s="16"/>
    </row>
    <row r="160" spans="1:41" x14ac:dyDescent="0.25">
      <c r="A160" s="86"/>
      <c r="B160" s="92"/>
      <c r="C160" s="99"/>
      <c r="D160" s="10"/>
      <c r="E160" s="10"/>
      <c r="F160" s="99"/>
      <c r="G160" s="10"/>
      <c r="H160" s="10"/>
      <c r="I160" s="100"/>
      <c r="J160" s="93"/>
      <c r="K160" s="92"/>
      <c r="L160" s="99"/>
      <c r="M160" s="10"/>
      <c r="N160" s="10"/>
      <c r="O160" s="99"/>
      <c r="P160" s="10"/>
      <c r="Q160" s="10"/>
      <c r="R160" s="100"/>
      <c r="S160" s="93"/>
      <c r="T160" s="100"/>
      <c r="U160" s="105" t="e">
        <f>VLOOKUP(T160,Species!$A$2:$D$2230,2,FALSE)</f>
        <v>#N/A</v>
      </c>
      <c r="V160" s="105" t="e">
        <f>VLOOKUP(T160,Species!$A$2:$D$2230,3,FALSE)</f>
        <v>#N/A</v>
      </c>
      <c r="W160" s="105" t="e">
        <f>VLOOKUP(T160,Species!$A$2:$D$2230,4,FALSE)</f>
        <v>#N/A</v>
      </c>
      <c r="X160" s="10"/>
      <c r="Y160" s="10"/>
      <c r="Z160" s="101"/>
      <c r="AA160" s="99"/>
      <c r="AB160" s="99"/>
      <c r="AC160" s="102"/>
      <c r="AD160" s="102"/>
      <c r="AE160" s="102"/>
      <c r="AF160" s="102"/>
      <c r="AG160" s="99"/>
      <c r="AH160" s="99"/>
      <c r="AI160" s="99"/>
      <c r="AJ160" s="99"/>
      <c r="AK160" s="99"/>
      <c r="AL160" s="10"/>
      <c r="AM160" s="99"/>
      <c r="AN160" s="103"/>
      <c r="AO160" s="16"/>
    </row>
    <row r="161" spans="1:41" x14ac:dyDescent="0.25">
      <c r="A161" s="86"/>
      <c r="B161" s="92"/>
      <c r="C161" s="99"/>
      <c r="D161" s="10"/>
      <c r="E161" s="10"/>
      <c r="F161" s="99"/>
      <c r="G161" s="10"/>
      <c r="H161" s="10"/>
      <c r="I161" s="100"/>
      <c r="J161" s="93"/>
      <c r="K161" s="92"/>
      <c r="L161" s="99"/>
      <c r="M161" s="10"/>
      <c r="N161" s="10"/>
      <c r="O161" s="99"/>
      <c r="P161" s="10"/>
      <c r="Q161" s="10"/>
      <c r="R161" s="100"/>
      <c r="S161" s="93"/>
      <c r="T161" s="100"/>
      <c r="U161" s="105" t="e">
        <f>VLOOKUP(T161,Species!$A$2:$D$2230,2,FALSE)</f>
        <v>#N/A</v>
      </c>
      <c r="V161" s="105" t="e">
        <f>VLOOKUP(T161,Species!$A$2:$D$2230,3,FALSE)</f>
        <v>#N/A</v>
      </c>
      <c r="W161" s="105" t="e">
        <f>VLOOKUP(T161,Species!$A$2:$D$2230,4,FALSE)</f>
        <v>#N/A</v>
      </c>
      <c r="X161" s="10"/>
      <c r="Y161" s="10"/>
      <c r="Z161" s="101"/>
      <c r="AA161" s="99"/>
      <c r="AB161" s="99"/>
      <c r="AC161" s="102"/>
      <c r="AD161" s="102"/>
      <c r="AE161" s="102"/>
      <c r="AF161" s="102"/>
      <c r="AG161" s="99"/>
      <c r="AH161" s="99"/>
      <c r="AI161" s="99"/>
      <c r="AJ161" s="99"/>
      <c r="AK161" s="99"/>
      <c r="AL161" s="10"/>
      <c r="AM161" s="99"/>
      <c r="AN161" s="103"/>
      <c r="AO161" s="16"/>
    </row>
    <row r="162" spans="1:41" x14ac:dyDescent="0.25">
      <c r="A162" s="86"/>
      <c r="B162" s="92"/>
      <c r="C162" s="99"/>
      <c r="D162" s="10"/>
      <c r="E162" s="10"/>
      <c r="F162" s="99"/>
      <c r="G162" s="10"/>
      <c r="H162" s="10"/>
      <c r="I162" s="100"/>
      <c r="J162" s="93"/>
      <c r="K162" s="92"/>
      <c r="L162" s="99"/>
      <c r="M162" s="10"/>
      <c r="N162" s="10"/>
      <c r="O162" s="99"/>
      <c r="P162" s="10"/>
      <c r="Q162" s="10"/>
      <c r="R162" s="100"/>
      <c r="S162" s="93"/>
      <c r="T162" s="100"/>
      <c r="U162" s="105" t="e">
        <f>VLOOKUP(T162,Species!$A$2:$D$2230,2,FALSE)</f>
        <v>#N/A</v>
      </c>
      <c r="V162" s="105" t="e">
        <f>VLOOKUP(T162,Species!$A$2:$D$2230,3,FALSE)</f>
        <v>#N/A</v>
      </c>
      <c r="W162" s="105" t="e">
        <f>VLOOKUP(T162,Species!$A$2:$D$2230,4,FALSE)</f>
        <v>#N/A</v>
      </c>
      <c r="X162" s="10"/>
      <c r="Y162" s="10"/>
      <c r="Z162" s="101"/>
      <c r="AA162" s="99"/>
      <c r="AB162" s="99"/>
      <c r="AC162" s="102"/>
      <c r="AD162" s="102"/>
      <c r="AE162" s="102"/>
      <c r="AF162" s="102"/>
      <c r="AG162" s="99"/>
      <c r="AH162" s="99"/>
      <c r="AI162" s="99"/>
      <c r="AJ162" s="99"/>
      <c r="AK162" s="99"/>
      <c r="AL162" s="10"/>
      <c r="AM162" s="99"/>
      <c r="AN162" s="103"/>
      <c r="AO162" s="16"/>
    </row>
    <row r="163" spans="1:41" x14ac:dyDescent="0.25">
      <c r="A163" s="86"/>
      <c r="B163" s="92"/>
      <c r="C163" s="99"/>
      <c r="D163" s="10"/>
      <c r="E163" s="10"/>
      <c r="F163" s="99"/>
      <c r="G163" s="10"/>
      <c r="H163" s="10"/>
      <c r="I163" s="100"/>
      <c r="J163" s="93"/>
      <c r="K163" s="92"/>
      <c r="L163" s="99"/>
      <c r="M163" s="10"/>
      <c r="N163" s="10"/>
      <c r="O163" s="99"/>
      <c r="P163" s="10"/>
      <c r="Q163" s="10"/>
      <c r="R163" s="100"/>
      <c r="S163" s="93"/>
      <c r="T163" s="100"/>
      <c r="U163" s="105" t="e">
        <f>VLOOKUP(T163,Species!$A$2:$D$2230,2,FALSE)</f>
        <v>#N/A</v>
      </c>
      <c r="V163" s="105" t="e">
        <f>VLOOKUP(T163,Species!$A$2:$D$2230,3,FALSE)</f>
        <v>#N/A</v>
      </c>
      <c r="W163" s="105" t="e">
        <f>VLOOKUP(T163,Species!$A$2:$D$2230,4,FALSE)</f>
        <v>#N/A</v>
      </c>
      <c r="X163" s="10"/>
      <c r="Y163" s="10"/>
      <c r="Z163" s="101"/>
      <c r="AA163" s="99"/>
      <c r="AB163" s="99"/>
      <c r="AC163" s="102"/>
      <c r="AD163" s="102"/>
      <c r="AE163" s="102"/>
      <c r="AF163" s="102"/>
      <c r="AG163" s="99"/>
      <c r="AH163" s="99"/>
      <c r="AI163" s="99"/>
      <c r="AJ163" s="99"/>
      <c r="AK163" s="99"/>
      <c r="AL163" s="10"/>
      <c r="AM163" s="99"/>
      <c r="AN163" s="103"/>
      <c r="AO163" s="16"/>
    </row>
    <row r="164" spans="1:41" x14ac:dyDescent="0.25">
      <c r="A164" s="86"/>
      <c r="B164" s="92"/>
      <c r="C164" s="99"/>
      <c r="D164" s="10"/>
      <c r="E164" s="10"/>
      <c r="F164" s="99"/>
      <c r="G164" s="10"/>
      <c r="H164" s="10"/>
      <c r="I164" s="100"/>
      <c r="J164" s="93"/>
      <c r="K164" s="92"/>
      <c r="L164" s="99"/>
      <c r="M164" s="10"/>
      <c r="N164" s="10"/>
      <c r="O164" s="99"/>
      <c r="P164" s="10"/>
      <c r="Q164" s="10"/>
      <c r="R164" s="100"/>
      <c r="S164" s="93"/>
      <c r="T164" s="100"/>
      <c r="U164" s="105" t="e">
        <f>VLOOKUP(T164,Species!$A$2:$D$2230,2,FALSE)</f>
        <v>#N/A</v>
      </c>
      <c r="V164" s="105" t="e">
        <f>VLOOKUP(T164,Species!$A$2:$D$2230,3,FALSE)</f>
        <v>#N/A</v>
      </c>
      <c r="W164" s="105" t="e">
        <f>VLOOKUP(T164,Species!$A$2:$D$2230,4,FALSE)</f>
        <v>#N/A</v>
      </c>
      <c r="X164" s="10"/>
      <c r="Y164" s="10"/>
      <c r="Z164" s="101"/>
      <c r="AA164" s="99"/>
      <c r="AB164" s="99"/>
      <c r="AC164" s="102"/>
      <c r="AD164" s="102"/>
      <c r="AE164" s="102"/>
      <c r="AF164" s="102"/>
      <c r="AG164" s="99"/>
      <c r="AH164" s="99"/>
      <c r="AI164" s="99"/>
      <c r="AJ164" s="99"/>
      <c r="AK164" s="99"/>
      <c r="AL164" s="10"/>
      <c r="AM164" s="99"/>
      <c r="AN164" s="103"/>
      <c r="AO164" s="16"/>
    </row>
    <row r="165" spans="1:41" x14ac:dyDescent="0.25">
      <c r="A165" s="87"/>
      <c r="B165" s="94"/>
      <c r="C165" s="99"/>
      <c r="D165" s="54"/>
      <c r="E165" s="54"/>
      <c r="F165" s="99"/>
      <c r="G165" s="54"/>
      <c r="H165" s="54"/>
      <c r="I165" s="100"/>
      <c r="J165" s="95"/>
      <c r="K165" s="94"/>
      <c r="L165" s="99"/>
      <c r="M165" s="54"/>
      <c r="N165" s="54"/>
      <c r="O165" s="99"/>
      <c r="P165" s="54"/>
      <c r="Q165" s="54"/>
      <c r="R165" s="100"/>
      <c r="S165" s="95"/>
      <c r="T165" s="100"/>
      <c r="U165" s="105" t="e">
        <f>VLOOKUP(T165,Species!$A$2:$D$2230,2,FALSE)</f>
        <v>#N/A</v>
      </c>
      <c r="V165" s="105" t="e">
        <f>VLOOKUP(T165,Species!$A$2:$D$2230,3,FALSE)</f>
        <v>#N/A</v>
      </c>
      <c r="W165" s="105" t="e">
        <f>VLOOKUP(T165,Species!$A$2:$D$2230,4,FALSE)</f>
        <v>#N/A</v>
      </c>
      <c r="X165" s="54"/>
      <c r="Y165" s="54"/>
      <c r="Z165" s="101"/>
      <c r="AA165" s="99"/>
      <c r="AB165" s="99"/>
      <c r="AC165" s="102"/>
      <c r="AD165" s="102"/>
      <c r="AE165" s="102"/>
      <c r="AF165" s="102"/>
      <c r="AG165" s="102"/>
      <c r="AH165" s="102"/>
      <c r="AI165" s="102"/>
      <c r="AJ165" s="102"/>
      <c r="AK165" s="102"/>
      <c r="AL165" s="54"/>
      <c r="AM165" s="102"/>
      <c r="AN165" s="104"/>
      <c r="AO165" s="16"/>
    </row>
    <row r="166" spans="1:41" x14ac:dyDescent="0.25">
      <c r="A166" s="86"/>
      <c r="B166" s="92"/>
      <c r="C166" s="99"/>
      <c r="D166" s="10"/>
      <c r="E166" s="10"/>
      <c r="F166" s="99"/>
      <c r="G166" s="10"/>
      <c r="H166" s="10"/>
      <c r="I166" s="100"/>
      <c r="J166" s="93"/>
      <c r="K166" s="92"/>
      <c r="L166" s="99"/>
      <c r="M166" s="10"/>
      <c r="N166" s="10"/>
      <c r="O166" s="99"/>
      <c r="P166" s="10"/>
      <c r="Q166" s="10"/>
      <c r="R166" s="100"/>
      <c r="S166" s="93"/>
      <c r="T166" s="100"/>
      <c r="U166" s="105" t="e">
        <f>VLOOKUP(T166,Species!$A$2:$D$2230,2,FALSE)</f>
        <v>#N/A</v>
      </c>
      <c r="V166" s="105" t="e">
        <f>VLOOKUP(T166,Species!$A$2:$D$2230,3,FALSE)</f>
        <v>#N/A</v>
      </c>
      <c r="W166" s="105" t="e">
        <f>VLOOKUP(T166,Species!$A$2:$D$2230,4,FALSE)</f>
        <v>#N/A</v>
      </c>
      <c r="X166" s="10"/>
      <c r="Y166" s="10"/>
      <c r="Z166" s="101"/>
      <c r="AA166" s="99"/>
      <c r="AB166" s="99"/>
      <c r="AC166" s="102"/>
      <c r="AD166" s="102"/>
      <c r="AE166" s="102"/>
      <c r="AF166" s="102"/>
      <c r="AG166" s="99"/>
      <c r="AH166" s="99"/>
      <c r="AI166" s="99"/>
      <c r="AJ166" s="99"/>
      <c r="AK166" s="99"/>
      <c r="AL166" s="10"/>
      <c r="AM166" s="99"/>
      <c r="AN166" s="103"/>
      <c r="AO166" s="16"/>
    </row>
    <row r="167" spans="1:41" x14ac:dyDescent="0.25">
      <c r="A167" s="86"/>
      <c r="B167" s="92"/>
      <c r="C167" s="99"/>
      <c r="D167" s="10"/>
      <c r="E167" s="10"/>
      <c r="F167" s="99"/>
      <c r="G167" s="10"/>
      <c r="H167" s="10"/>
      <c r="I167" s="100"/>
      <c r="J167" s="93"/>
      <c r="K167" s="92"/>
      <c r="L167" s="99"/>
      <c r="M167" s="10"/>
      <c r="N167" s="10"/>
      <c r="O167" s="99"/>
      <c r="P167" s="10"/>
      <c r="Q167" s="10"/>
      <c r="R167" s="100"/>
      <c r="S167" s="93"/>
      <c r="T167" s="100"/>
      <c r="U167" s="105" t="e">
        <f>VLOOKUP(T167,Species!$A$2:$D$2230,2,FALSE)</f>
        <v>#N/A</v>
      </c>
      <c r="V167" s="105" t="e">
        <f>VLOOKUP(T167,Species!$A$2:$D$2230,3,FALSE)</f>
        <v>#N/A</v>
      </c>
      <c r="W167" s="105" t="e">
        <f>VLOOKUP(T167,Species!$A$2:$D$2230,4,FALSE)</f>
        <v>#N/A</v>
      </c>
      <c r="X167" s="10"/>
      <c r="Y167" s="10"/>
      <c r="Z167" s="101"/>
      <c r="AA167" s="99"/>
      <c r="AB167" s="99"/>
      <c r="AC167" s="102"/>
      <c r="AD167" s="102"/>
      <c r="AE167" s="102"/>
      <c r="AF167" s="102"/>
      <c r="AG167" s="99"/>
      <c r="AH167" s="99"/>
      <c r="AI167" s="99"/>
      <c r="AJ167" s="99"/>
      <c r="AK167" s="99"/>
      <c r="AL167" s="10"/>
      <c r="AM167" s="99"/>
      <c r="AN167" s="103"/>
      <c r="AO167" s="16"/>
    </row>
    <row r="168" spans="1:41" x14ac:dyDescent="0.25">
      <c r="A168" s="86"/>
      <c r="B168" s="92"/>
      <c r="C168" s="99"/>
      <c r="D168" s="10"/>
      <c r="E168" s="10"/>
      <c r="F168" s="99"/>
      <c r="G168" s="10"/>
      <c r="H168" s="10"/>
      <c r="I168" s="100"/>
      <c r="J168" s="93"/>
      <c r="K168" s="92"/>
      <c r="L168" s="99"/>
      <c r="M168" s="10"/>
      <c r="N168" s="10"/>
      <c r="O168" s="99"/>
      <c r="P168" s="10"/>
      <c r="Q168" s="10"/>
      <c r="R168" s="100"/>
      <c r="S168" s="93"/>
      <c r="T168" s="100"/>
      <c r="U168" s="105" t="e">
        <f>VLOOKUP(T168,Species!$A$2:$D$2230,2,FALSE)</f>
        <v>#N/A</v>
      </c>
      <c r="V168" s="105" t="e">
        <f>VLOOKUP(T168,Species!$A$2:$D$2230,3,FALSE)</f>
        <v>#N/A</v>
      </c>
      <c r="W168" s="105" t="e">
        <f>VLOOKUP(T168,Species!$A$2:$D$2230,4,FALSE)</f>
        <v>#N/A</v>
      </c>
      <c r="X168" s="10"/>
      <c r="Y168" s="10"/>
      <c r="Z168" s="101"/>
      <c r="AA168" s="99"/>
      <c r="AB168" s="99"/>
      <c r="AC168" s="102"/>
      <c r="AD168" s="102"/>
      <c r="AE168" s="102"/>
      <c r="AF168" s="102"/>
      <c r="AG168" s="99"/>
      <c r="AH168" s="99"/>
      <c r="AI168" s="99"/>
      <c r="AJ168" s="99"/>
      <c r="AK168" s="99"/>
      <c r="AL168" s="10"/>
      <c r="AM168" s="99"/>
      <c r="AN168" s="103"/>
      <c r="AO168" s="16"/>
    </row>
    <row r="169" spans="1:41" x14ac:dyDescent="0.25">
      <c r="A169" s="86"/>
      <c r="B169" s="92"/>
      <c r="C169" s="99"/>
      <c r="D169" s="10"/>
      <c r="E169" s="10"/>
      <c r="F169" s="99"/>
      <c r="G169" s="10"/>
      <c r="H169" s="10"/>
      <c r="I169" s="100"/>
      <c r="J169" s="93"/>
      <c r="K169" s="92"/>
      <c r="L169" s="99"/>
      <c r="M169" s="10"/>
      <c r="N169" s="10"/>
      <c r="O169" s="99"/>
      <c r="P169" s="10"/>
      <c r="Q169" s="10"/>
      <c r="R169" s="100"/>
      <c r="S169" s="93"/>
      <c r="T169" s="100"/>
      <c r="U169" s="105" t="e">
        <f>VLOOKUP(T169,Species!$A$2:$D$2230,2,FALSE)</f>
        <v>#N/A</v>
      </c>
      <c r="V169" s="105" t="e">
        <f>VLOOKUP(T169,Species!$A$2:$D$2230,3,FALSE)</f>
        <v>#N/A</v>
      </c>
      <c r="W169" s="105" t="e">
        <f>VLOOKUP(T169,Species!$A$2:$D$2230,4,FALSE)</f>
        <v>#N/A</v>
      </c>
      <c r="X169" s="10"/>
      <c r="Y169" s="10"/>
      <c r="Z169" s="101"/>
      <c r="AA169" s="99"/>
      <c r="AB169" s="99"/>
      <c r="AC169" s="102"/>
      <c r="AD169" s="102"/>
      <c r="AE169" s="102"/>
      <c r="AF169" s="102"/>
      <c r="AG169" s="99"/>
      <c r="AH169" s="99"/>
      <c r="AI169" s="99"/>
      <c r="AJ169" s="99"/>
      <c r="AK169" s="99"/>
      <c r="AL169" s="10"/>
      <c r="AM169" s="99"/>
      <c r="AN169" s="103"/>
      <c r="AO169" s="16"/>
    </row>
    <row r="170" spans="1:41" x14ac:dyDescent="0.25">
      <c r="A170" s="86"/>
      <c r="B170" s="92"/>
      <c r="C170" s="99"/>
      <c r="D170" s="10"/>
      <c r="E170" s="10"/>
      <c r="F170" s="99"/>
      <c r="G170" s="10"/>
      <c r="H170" s="10"/>
      <c r="I170" s="100"/>
      <c r="J170" s="93"/>
      <c r="K170" s="92"/>
      <c r="L170" s="99"/>
      <c r="M170" s="10"/>
      <c r="N170" s="10"/>
      <c r="O170" s="99"/>
      <c r="P170" s="10"/>
      <c r="Q170" s="10"/>
      <c r="R170" s="100"/>
      <c r="S170" s="93"/>
      <c r="T170" s="100"/>
      <c r="U170" s="105" t="e">
        <f>VLOOKUP(T170,Species!$A$2:$D$2230,2,FALSE)</f>
        <v>#N/A</v>
      </c>
      <c r="V170" s="105" t="e">
        <f>VLOOKUP(T170,Species!$A$2:$D$2230,3,FALSE)</f>
        <v>#N/A</v>
      </c>
      <c r="W170" s="105" t="e">
        <f>VLOOKUP(T170,Species!$A$2:$D$2230,4,FALSE)</f>
        <v>#N/A</v>
      </c>
      <c r="X170" s="10"/>
      <c r="Y170" s="10"/>
      <c r="Z170" s="101"/>
      <c r="AA170" s="99"/>
      <c r="AB170" s="99"/>
      <c r="AC170" s="102"/>
      <c r="AD170" s="102"/>
      <c r="AE170" s="102"/>
      <c r="AF170" s="102"/>
      <c r="AG170" s="99"/>
      <c r="AH170" s="99"/>
      <c r="AI170" s="99"/>
      <c r="AJ170" s="99"/>
      <c r="AK170" s="99"/>
      <c r="AL170" s="10"/>
      <c r="AM170" s="99"/>
      <c r="AN170" s="103"/>
      <c r="AO170" s="16"/>
    </row>
    <row r="171" spans="1:41" x14ac:dyDescent="0.25">
      <c r="A171" s="86"/>
      <c r="B171" s="92"/>
      <c r="C171" s="99"/>
      <c r="D171" s="10"/>
      <c r="E171" s="10"/>
      <c r="F171" s="99"/>
      <c r="G171" s="10"/>
      <c r="H171" s="10"/>
      <c r="I171" s="100"/>
      <c r="J171" s="93"/>
      <c r="K171" s="92"/>
      <c r="L171" s="99"/>
      <c r="M171" s="10"/>
      <c r="N171" s="10"/>
      <c r="O171" s="99"/>
      <c r="P171" s="10"/>
      <c r="Q171" s="10"/>
      <c r="R171" s="100"/>
      <c r="S171" s="93"/>
      <c r="T171" s="100"/>
      <c r="U171" s="105" t="e">
        <f>VLOOKUP(T171,Species!$A$2:$D$2230,2,FALSE)</f>
        <v>#N/A</v>
      </c>
      <c r="V171" s="105" t="e">
        <f>VLOOKUP(T171,Species!$A$2:$D$2230,3,FALSE)</f>
        <v>#N/A</v>
      </c>
      <c r="W171" s="105" t="e">
        <f>VLOOKUP(T171,Species!$A$2:$D$2230,4,FALSE)</f>
        <v>#N/A</v>
      </c>
      <c r="X171" s="10"/>
      <c r="Y171" s="10"/>
      <c r="Z171" s="101"/>
      <c r="AA171" s="99"/>
      <c r="AB171" s="99"/>
      <c r="AC171" s="102"/>
      <c r="AD171" s="102"/>
      <c r="AE171" s="102"/>
      <c r="AF171" s="102"/>
      <c r="AG171" s="99"/>
      <c r="AH171" s="99"/>
      <c r="AI171" s="99"/>
      <c r="AJ171" s="99"/>
      <c r="AK171" s="99"/>
      <c r="AL171" s="10"/>
      <c r="AM171" s="99"/>
      <c r="AN171" s="103"/>
      <c r="AO171" s="16"/>
    </row>
    <row r="172" spans="1:41" x14ac:dyDescent="0.25">
      <c r="A172" s="86"/>
      <c r="B172" s="92"/>
      <c r="C172" s="99"/>
      <c r="D172" s="10"/>
      <c r="E172" s="10"/>
      <c r="F172" s="99"/>
      <c r="G172" s="10"/>
      <c r="H172" s="10"/>
      <c r="I172" s="100"/>
      <c r="J172" s="93"/>
      <c r="K172" s="92"/>
      <c r="L172" s="99"/>
      <c r="M172" s="10"/>
      <c r="N172" s="10"/>
      <c r="O172" s="99"/>
      <c r="P172" s="10"/>
      <c r="Q172" s="10"/>
      <c r="R172" s="100"/>
      <c r="S172" s="93"/>
      <c r="T172" s="100"/>
      <c r="U172" s="105" t="e">
        <f>VLOOKUP(T172,Species!$A$2:$D$2230,2,FALSE)</f>
        <v>#N/A</v>
      </c>
      <c r="V172" s="105" t="e">
        <f>VLOOKUP(T172,Species!$A$2:$D$2230,3,FALSE)</f>
        <v>#N/A</v>
      </c>
      <c r="W172" s="105" t="e">
        <f>VLOOKUP(T172,Species!$A$2:$D$2230,4,FALSE)</f>
        <v>#N/A</v>
      </c>
      <c r="X172" s="10"/>
      <c r="Y172" s="10"/>
      <c r="Z172" s="101"/>
      <c r="AA172" s="99"/>
      <c r="AB172" s="99"/>
      <c r="AC172" s="102"/>
      <c r="AD172" s="102"/>
      <c r="AE172" s="102"/>
      <c r="AF172" s="102"/>
      <c r="AG172" s="99"/>
      <c r="AH172" s="99"/>
      <c r="AI172" s="99"/>
      <c r="AJ172" s="99"/>
      <c r="AK172" s="99"/>
      <c r="AL172" s="10"/>
      <c r="AM172" s="99"/>
      <c r="AN172" s="103"/>
      <c r="AO172" s="16"/>
    </row>
    <row r="173" spans="1:41" x14ac:dyDescent="0.25">
      <c r="A173" s="86"/>
      <c r="B173" s="92"/>
      <c r="C173" s="99"/>
      <c r="D173" s="10"/>
      <c r="E173" s="10"/>
      <c r="F173" s="99"/>
      <c r="G173" s="10"/>
      <c r="H173" s="10"/>
      <c r="I173" s="100"/>
      <c r="J173" s="93"/>
      <c r="K173" s="92"/>
      <c r="L173" s="99"/>
      <c r="M173" s="10"/>
      <c r="N173" s="10"/>
      <c r="O173" s="99"/>
      <c r="P173" s="10"/>
      <c r="Q173" s="10"/>
      <c r="R173" s="100"/>
      <c r="S173" s="93"/>
      <c r="T173" s="100"/>
      <c r="U173" s="105" t="e">
        <f>VLOOKUP(T173,Species!$A$2:$D$2230,2,FALSE)</f>
        <v>#N/A</v>
      </c>
      <c r="V173" s="105" t="e">
        <f>VLOOKUP(T173,Species!$A$2:$D$2230,3,FALSE)</f>
        <v>#N/A</v>
      </c>
      <c r="W173" s="105" t="e">
        <f>VLOOKUP(T173,Species!$A$2:$D$2230,4,FALSE)</f>
        <v>#N/A</v>
      </c>
      <c r="X173" s="10"/>
      <c r="Y173" s="10"/>
      <c r="Z173" s="101"/>
      <c r="AA173" s="99"/>
      <c r="AB173" s="99"/>
      <c r="AC173" s="102"/>
      <c r="AD173" s="102"/>
      <c r="AE173" s="102"/>
      <c r="AF173" s="102"/>
      <c r="AG173" s="99"/>
      <c r="AH173" s="99"/>
      <c r="AI173" s="99"/>
      <c r="AJ173" s="99"/>
      <c r="AK173" s="99"/>
      <c r="AL173" s="10"/>
      <c r="AM173" s="99"/>
      <c r="AN173" s="103"/>
      <c r="AO173" s="16"/>
    </row>
    <row r="174" spans="1:41" x14ac:dyDescent="0.25">
      <c r="A174" s="87"/>
      <c r="B174" s="94"/>
      <c r="C174" s="99"/>
      <c r="D174" s="54"/>
      <c r="E174" s="54"/>
      <c r="F174" s="99"/>
      <c r="G174" s="54"/>
      <c r="H174" s="54"/>
      <c r="I174" s="100"/>
      <c r="J174" s="95"/>
      <c r="K174" s="94"/>
      <c r="L174" s="99"/>
      <c r="M174" s="54"/>
      <c r="N174" s="54"/>
      <c r="O174" s="99"/>
      <c r="P174" s="54"/>
      <c r="Q174" s="54"/>
      <c r="R174" s="100"/>
      <c r="S174" s="95"/>
      <c r="T174" s="100"/>
      <c r="U174" s="105" t="e">
        <f>VLOOKUP(T174,Species!$A$2:$D$2230,2,FALSE)</f>
        <v>#N/A</v>
      </c>
      <c r="V174" s="105" t="e">
        <f>VLOOKUP(T174,Species!$A$2:$D$2230,3,FALSE)</f>
        <v>#N/A</v>
      </c>
      <c r="W174" s="105" t="e">
        <f>VLOOKUP(T174,Species!$A$2:$D$2230,4,FALSE)</f>
        <v>#N/A</v>
      </c>
      <c r="X174" s="54"/>
      <c r="Y174" s="54"/>
      <c r="Z174" s="101"/>
      <c r="AA174" s="99"/>
      <c r="AB174" s="99"/>
      <c r="AC174" s="102"/>
      <c r="AD174" s="102"/>
      <c r="AE174" s="102"/>
      <c r="AF174" s="102"/>
      <c r="AG174" s="99"/>
      <c r="AH174" s="99"/>
      <c r="AI174" s="99"/>
      <c r="AJ174" s="99"/>
      <c r="AK174" s="102"/>
      <c r="AL174" s="54"/>
      <c r="AM174" s="102"/>
      <c r="AN174" s="104"/>
      <c r="AO174" s="16"/>
    </row>
    <row r="175" spans="1:41" x14ac:dyDescent="0.25">
      <c r="A175" s="86"/>
      <c r="B175" s="92"/>
      <c r="C175" s="99"/>
      <c r="D175" s="10"/>
      <c r="E175" s="10"/>
      <c r="F175" s="99"/>
      <c r="G175" s="10"/>
      <c r="H175" s="10"/>
      <c r="I175" s="100"/>
      <c r="J175" s="93"/>
      <c r="K175" s="92"/>
      <c r="L175" s="99"/>
      <c r="M175" s="10"/>
      <c r="N175" s="10"/>
      <c r="O175" s="99"/>
      <c r="P175" s="10"/>
      <c r="Q175" s="10"/>
      <c r="R175" s="100"/>
      <c r="S175" s="93"/>
      <c r="T175" s="100"/>
      <c r="U175" s="105" t="e">
        <f>VLOOKUP(T175,Species!$A$2:$D$2230,2,FALSE)</f>
        <v>#N/A</v>
      </c>
      <c r="V175" s="105" t="e">
        <f>VLOOKUP(T175,Species!$A$2:$D$2230,3,FALSE)</f>
        <v>#N/A</v>
      </c>
      <c r="W175" s="105" t="e">
        <f>VLOOKUP(T175,Species!$A$2:$D$2230,4,FALSE)</f>
        <v>#N/A</v>
      </c>
      <c r="X175" s="10"/>
      <c r="Y175" s="10"/>
      <c r="Z175" s="101"/>
      <c r="AA175" s="99"/>
      <c r="AB175" s="99"/>
      <c r="AC175" s="102"/>
      <c r="AD175" s="102"/>
      <c r="AE175" s="102"/>
      <c r="AF175" s="102"/>
      <c r="AG175" s="99"/>
      <c r="AH175" s="99"/>
      <c r="AI175" s="99"/>
      <c r="AJ175" s="99"/>
      <c r="AK175" s="99"/>
      <c r="AL175" s="10"/>
      <c r="AM175" s="99"/>
      <c r="AN175" s="103"/>
      <c r="AO175" s="16"/>
    </row>
    <row r="176" spans="1:41" x14ac:dyDescent="0.25">
      <c r="A176" s="86"/>
      <c r="B176" s="92"/>
      <c r="C176" s="99"/>
      <c r="D176" s="10"/>
      <c r="E176" s="10"/>
      <c r="F176" s="99"/>
      <c r="G176" s="10"/>
      <c r="H176" s="10"/>
      <c r="I176" s="100"/>
      <c r="J176" s="93"/>
      <c r="K176" s="92"/>
      <c r="L176" s="99"/>
      <c r="M176" s="10"/>
      <c r="N176" s="10"/>
      <c r="O176" s="99"/>
      <c r="P176" s="10"/>
      <c r="Q176" s="10"/>
      <c r="R176" s="100"/>
      <c r="S176" s="93"/>
      <c r="T176" s="100"/>
      <c r="U176" s="105" t="e">
        <f>VLOOKUP(T176,Species!$A$2:$D$2230,2,FALSE)</f>
        <v>#N/A</v>
      </c>
      <c r="V176" s="105" t="e">
        <f>VLOOKUP(T176,Species!$A$2:$D$2230,3,FALSE)</f>
        <v>#N/A</v>
      </c>
      <c r="W176" s="105" t="e">
        <f>VLOOKUP(T176,Species!$A$2:$D$2230,4,FALSE)</f>
        <v>#N/A</v>
      </c>
      <c r="X176" s="10"/>
      <c r="Y176" s="10"/>
      <c r="Z176" s="101"/>
      <c r="AA176" s="99"/>
      <c r="AB176" s="99"/>
      <c r="AC176" s="102"/>
      <c r="AD176" s="102"/>
      <c r="AE176" s="102"/>
      <c r="AF176" s="102"/>
      <c r="AG176" s="99"/>
      <c r="AH176" s="99"/>
      <c r="AI176" s="99"/>
      <c r="AJ176" s="99"/>
      <c r="AK176" s="99"/>
      <c r="AL176" s="10"/>
      <c r="AM176" s="99"/>
      <c r="AN176" s="103"/>
      <c r="AO176" s="16"/>
    </row>
    <row r="177" spans="1:41" x14ac:dyDescent="0.25">
      <c r="A177" s="86"/>
      <c r="B177" s="92"/>
      <c r="C177" s="99"/>
      <c r="D177" s="10"/>
      <c r="E177" s="10"/>
      <c r="F177" s="99"/>
      <c r="G177" s="10"/>
      <c r="H177" s="10"/>
      <c r="I177" s="100"/>
      <c r="J177" s="93"/>
      <c r="K177" s="92"/>
      <c r="L177" s="99"/>
      <c r="M177" s="10"/>
      <c r="N177" s="10"/>
      <c r="O177" s="99"/>
      <c r="P177" s="10"/>
      <c r="Q177" s="10"/>
      <c r="R177" s="100"/>
      <c r="S177" s="93"/>
      <c r="T177" s="100"/>
      <c r="U177" s="105" t="e">
        <f>VLOOKUP(T177,Species!$A$2:$D$2230,2,FALSE)</f>
        <v>#N/A</v>
      </c>
      <c r="V177" s="105" t="e">
        <f>VLOOKUP(T177,Species!$A$2:$D$2230,3,FALSE)</f>
        <v>#N/A</v>
      </c>
      <c r="W177" s="105" t="e">
        <f>VLOOKUP(T177,Species!$A$2:$D$2230,4,FALSE)</f>
        <v>#N/A</v>
      </c>
      <c r="X177" s="10"/>
      <c r="Y177" s="10"/>
      <c r="Z177" s="101"/>
      <c r="AA177" s="99"/>
      <c r="AB177" s="99"/>
      <c r="AC177" s="102"/>
      <c r="AD177" s="102"/>
      <c r="AE177" s="102"/>
      <c r="AF177" s="102"/>
      <c r="AG177" s="99"/>
      <c r="AH177" s="99"/>
      <c r="AI177" s="99"/>
      <c r="AJ177" s="99"/>
      <c r="AK177" s="99"/>
      <c r="AL177" s="10"/>
      <c r="AM177" s="99"/>
      <c r="AN177" s="103"/>
      <c r="AO177" s="16"/>
    </row>
    <row r="178" spans="1:41" x14ac:dyDescent="0.25">
      <c r="A178" s="86"/>
      <c r="B178" s="92"/>
      <c r="C178" s="99"/>
      <c r="D178" s="10"/>
      <c r="E178" s="10"/>
      <c r="F178" s="99"/>
      <c r="G178" s="10"/>
      <c r="H178" s="10"/>
      <c r="I178" s="100"/>
      <c r="J178" s="93"/>
      <c r="K178" s="92"/>
      <c r="L178" s="99"/>
      <c r="M178" s="10"/>
      <c r="N178" s="10"/>
      <c r="O178" s="99"/>
      <c r="P178" s="10"/>
      <c r="Q178" s="10"/>
      <c r="R178" s="100"/>
      <c r="S178" s="93"/>
      <c r="T178" s="100"/>
      <c r="U178" s="105" t="e">
        <f>VLOOKUP(T178,Species!$A$2:$D$2230,2,FALSE)</f>
        <v>#N/A</v>
      </c>
      <c r="V178" s="105" t="e">
        <f>VLOOKUP(T178,Species!$A$2:$D$2230,3,FALSE)</f>
        <v>#N/A</v>
      </c>
      <c r="W178" s="105" t="e">
        <f>VLOOKUP(T178,Species!$A$2:$D$2230,4,FALSE)</f>
        <v>#N/A</v>
      </c>
      <c r="X178" s="10"/>
      <c r="Y178" s="10"/>
      <c r="Z178" s="101"/>
      <c r="AA178" s="99"/>
      <c r="AB178" s="99"/>
      <c r="AC178" s="102"/>
      <c r="AD178" s="102"/>
      <c r="AE178" s="102"/>
      <c r="AF178" s="102"/>
      <c r="AG178" s="99"/>
      <c r="AH178" s="99"/>
      <c r="AI178" s="99"/>
      <c r="AJ178" s="99"/>
      <c r="AK178" s="99"/>
      <c r="AL178" s="10"/>
      <c r="AM178" s="99"/>
      <c r="AN178" s="103"/>
      <c r="AO178" s="16"/>
    </row>
    <row r="179" spans="1:41" x14ac:dyDescent="0.25">
      <c r="A179" s="86"/>
      <c r="B179" s="92"/>
      <c r="C179" s="99"/>
      <c r="D179" s="10"/>
      <c r="E179" s="10"/>
      <c r="F179" s="99"/>
      <c r="G179" s="10"/>
      <c r="H179" s="10"/>
      <c r="I179" s="100"/>
      <c r="J179" s="93"/>
      <c r="K179" s="92"/>
      <c r="L179" s="99"/>
      <c r="M179" s="10"/>
      <c r="N179" s="10"/>
      <c r="O179" s="99"/>
      <c r="P179" s="10"/>
      <c r="Q179" s="10"/>
      <c r="R179" s="100"/>
      <c r="S179" s="93"/>
      <c r="T179" s="100"/>
      <c r="U179" s="105" t="e">
        <f>VLOOKUP(T179,Species!$A$2:$D$2230,2,FALSE)</f>
        <v>#N/A</v>
      </c>
      <c r="V179" s="105" t="e">
        <f>VLOOKUP(T179,Species!$A$2:$D$2230,3,FALSE)</f>
        <v>#N/A</v>
      </c>
      <c r="W179" s="105" t="e">
        <f>VLOOKUP(T179,Species!$A$2:$D$2230,4,FALSE)</f>
        <v>#N/A</v>
      </c>
      <c r="X179" s="10"/>
      <c r="Y179" s="10"/>
      <c r="Z179" s="101"/>
      <c r="AA179" s="99"/>
      <c r="AB179" s="99"/>
      <c r="AC179" s="102"/>
      <c r="AD179" s="102"/>
      <c r="AE179" s="102"/>
      <c r="AF179" s="102"/>
      <c r="AG179" s="99"/>
      <c r="AH179" s="99"/>
      <c r="AI179" s="99"/>
      <c r="AJ179" s="99"/>
      <c r="AK179" s="99"/>
      <c r="AL179" s="10"/>
      <c r="AM179" s="99"/>
      <c r="AN179" s="103"/>
      <c r="AO179" s="16"/>
    </row>
    <row r="180" spans="1:41" x14ac:dyDescent="0.25">
      <c r="A180" s="86"/>
      <c r="B180" s="92"/>
      <c r="C180" s="99"/>
      <c r="D180" s="10"/>
      <c r="E180" s="10"/>
      <c r="F180" s="99"/>
      <c r="G180" s="10"/>
      <c r="H180" s="10"/>
      <c r="I180" s="100"/>
      <c r="J180" s="93"/>
      <c r="K180" s="92"/>
      <c r="L180" s="99"/>
      <c r="M180" s="10"/>
      <c r="N180" s="10"/>
      <c r="O180" s="99"/>
      <c r="P180" s="10"/>
      <c r="Q180" s="10"/>
      <c r="R180" s="100"/>
      <c r="S180" s="93"/>
      <c r="T180" s="100"/>
      <c r="U180" s="105" t="e">
        <f>VLOOKUP(T180,Species!$A$2:$D$2230,2,FALSE)</f>
        <v>#N/A</v>
      </c>
      <c r="V180" s="105" t="e">
        <f>VLOOKUP(T180,Species!$A$2:$D$2230,3,FALSE)</f>
        <v>#N/A</v>
      </c>
      <c r="W180" s="105" t="e">
        <f>VLOOKUP(T180,Species!$A$2:$D$2230,4,FALSE)</f>
        <v>#N/A</v>
      </c>
      <c r="X180" s="10"/>
      <c r="Y180" s="10"/>
      <c r="Z180" s="101"/>
      <c r="AA180" s="99"/>
      <c r="AB180" s="99"/>
      <c r="AC180" s="102"/>
      <c r="AD180" s="102"/>
      <c r="AE180" s="102"/>
      <c r="AF180" s="102"/>
      <c r="AG180" s="99"/>
      <c r="AH180" s="99"/>
      <c r="AI180" s="99"/>
      <c r="AJ180" s="99"/>
      <c r="AK180" s="99"/>
      <c r="AL180" s="10"/>
      <c r="AM180" s="99"/>
      <c r="AN180" s="103"/>
      <c r="AO180" s="16"/>
    </row>
    <row r="181" spans="1:41" x14ac:dyDescent="0.25">
      <c r="A181" s="86"/>
      <c r="B181" s="92"/>
      <c r="C181" s="99"/>
      <c r="D181" s="10"/>
      <c r="E181" s="10"/>
      <c r="F181" s="99"/>
      <c r="G181" s="10"/>
      <c r="H181" s="10"/>
      <c r="I181" s="100"/>
      <c r="J181" s="93"/>
      <c r="K181" s="92"/>
      <c r="L181" s="99"/>
      <c r="M181" s="10"/>
      <c r="N181" s="10"/>
      <c r="O181" s="99"/>
      <c r="P181" s="10"/>
      <c r="Q181" s="10"/>
      <c r="R181" s="100"/>
      <c r="S181" s="93"/>
      <c r="T181" s="100"/>
      <c r="U181" s="105" t="e">
        <f>VLOOKUP(T181,Species!$A$2:$D$2230,2,FALSE)</f>
        <v>#N/A</v>
      </c>
      <c r="V181" s="105" t="e">
        <f>VLOOKUP(T181,Species!$A$2:$D$2230,3,FALSE)</f>
        <v>#N/A</v>
      </c>
      <c r="W181" s="105" t="e">
        <f>VLOOKUP(T181,Species!$A$2:$D$2230,4,FALSE)</f>
        <v>#N/A</v>
      </c>
      <c r="X181" s="10"/>
      <c r="Y181" s="10"/>
      <c r="Z181" s="101"/>
      <c r="AA181" s="99"/>
      <c r="AB181" s="99"/>
      <c r="AC181" s="102"/>
      <c r="AD181" s="102"/>
      <c r="AE181" s="102"/>
      <c r="AF181" s="102"/>
      <c r="AG181" s="99"/>
      <c r="AH181" s="99"/>
      <c r="AI181" s="99"/>
      <c r="AJ181" s="99"/>
      <c r="AK181" s="99"/>
      <c r="AL181" s="10"/>
      <c r="AM181" s="99"/>
      <c r="AN181" s="103"/>
      <c r="AO181" s="16"/>
    </row>
    <row r="182" spans="1:41" x14ac:dyDescent="0.25">
      <c r="A182" s="86"/>
      <c r="B182" s="92"/>
      <c r="C182" s="99"/>
      <c r="D182" s="10"/>
      <c r="E182" s="10"/>
      <c r="F182" s="99"/>
      <c r="G182" s="10"/>
      <c r="H182" s="10"/>
      <c r="I182" s="100"/>
      <c r="J182" s="93"/>
      <c r="K182" s="92"/>
      <c r="L182" s="99"/>
      <c r="M182" s="10"/>
      <c r="N182" s="10"/>
      <c r="O182" s="99"/>
      <c r="P182" s="10"/>
      <c r="Q182" s="10"/>
      <c r="R182" s="100"/>
      <c r="S182" s="93"/>
      <c r="T182" s="100"/>
      <c r="U182" s="105" t="e">
        <f>VLOOKUP(T182,Species!$A$2:$D$2230,2,FALSE)</f>
        <v>#N/A</v>
      </c>
      <c r="V182" s="105" t="e">
        <f>VLOOKUP(T182,Species!$A$2:$D$2230,3,FALSE)</f>
        <v>#N/A</v>
      </c>
      <c r="W182" s="105" t="e">
        <f>VLOOKUP(T182,Species!$A$2:$D$2230,4,FALSE)</f>
        <v>#N/A</v>
      </c>
      <c r="X182" s="10"/>
      <c r="Y182" s="10"/>
      <c r="Z182" s="101"/>
      <c r="AA182" s="99"/>
      <c r="AB182" s="99"/>
      <c r="AC182" s="102"/>
      <c r="AD182" s="102"/>
      <c r="AE182" s="102"/>
      <c r="AF182" s="102"/>
      <c r="AG182" s="99"/>
      <c r="AH182" s="99"/>
      <c r="AI182" s="99"/>
      <c r="AJ182" s="99"/>
      <c r="AK182" s="99"/>
      <c r="AL182" s="10"/>
      <c r="AM182" s="99"/>
      <c r="AN182" s="103"/>
      <c r="AO182" s="16"/>
    </row>
    <row r="183" spans="1:41" x14ac:dyDescent="0.25">
      <c r="A183" s="87"/>
      <c r="B183" s="94"/>
      <c r="C183" s="99"/>
      <c r="D183" s="54"/>
      <c r="E183" s="54"/>
      <c r="F183" s="99"/>
      <c r="G183" s="54"/>
      <c r="H183" s="54"/>
      <c r="I183" s="100"/>
      <c r="J183" s="95"/>
      <c r="K183" s="94"/>
      <c r="L183" s="99"/>
      <c r="M183" s="54"/>
      <c r="N183" s="54"/>
      <c r="O183" s="99"/>
      <c r="P183" s="54"/>
      <c r="Q183" s="54"/>
      <c r="R183" s="100"/>
      <c r="S183" s="95"/>
      <c r="T183" s="100"/>
      <c r="U183" s="105" t="e">
        <f>VLOOKUP(T183,Species!$A$2:$D$2230,2,FALSE)</f>
        <v>#N/A</v>
      </c>
      <c r="V183" s="105" t="e">
        <f>VLOOKUP(T183,Species!$A$2:$D$2230,3,FALSE)</f>
        <v>#N/A</v>
      </c>
      <c r="W183" s="105" t="e">
        <f>VLOOKUP(T183,Species!$A$2:$D$2230,4,FALSE)</f>
        <v>#N/A</v>
      </c>
      <c r="X183" s="54"/>
      <c r="Y183" s="54"/>
      <c r="Z183" s="101"/>
      <c r="AA183" s="99"/>
      <c r="AB183" s="99"/>
      <c r="AC183" s="102"/>
      <c r="AD183" s="102"/>
      <c r="AE183" s="102"/>
      <c r="AF183" s="102"/>
      <c r="AG183" s="102"/>
      <c r="AH183" s="102"/>
      <c r="AI183" s="102"/>
      <c r="AJ183" s="102"/>
      <c r="AK183" s="102"/>
      <c r="AL183" s="54"/>
      <c r="AM183" s="102"/>
      <c r="AN183" s="104"/>
      <c r="AO183" s="16"/>
    </row>
    <row r="184" spans="1:41" x14ac:dyDescent="0.25">
      <c r="A184" s="86"/>
      <c r="B184" s="92"/>
      <c r="C184" s="99"/>
      <c r="D184" s="10"/>
      <c r="E184" s="10"/>
      <c r="F184" s="99"/>
      <c r="G184" s="10"/>
      <c r="H184" s="10"/>
      <c r="I184" s="100"/>
      <c r="J184" s="93"/>
      <c r="K184" s="92"/>
      <c r="L184" s="99"/>
      <c r="M184" s="10"/>
      <c r="N184" s="10"/>
      <c r="O184" s="99"/>
      <c r="P184" s="10"/>
      <c r="Q184" s="10"/>
      <c r="R184" s="100"/>
      <c r="S184" s="93"/>
      <c r="T184" s="100"/>
      <c r="U184" s="105" t="e">
        <f>VLOOKUP(T184,Species!$A$2:$D$2230,2,FALSE)</f>
        <v>#N/A</v>
      </c>
      <c r="V184" s="105" t="e">
        <f>VLOOKUP(T184,Species!$A$2:$D$2230,3,FALSE)</f>
        <v>#N/A</v>
      </c>
      <c r="W184" s="105" t="e">
        <f>VLOOKUP(T184,Species!$A$2:$D$2230,4,FALSE)</f>
        <v>#N/A</v>
      </c>
      <c r="X184" s="10"/>
      <c r="Y184" s="10"/>
      <c r="Z184" s="101"/>
      <c r="AA184" s="99"/>
      <c r="AB184" s="99"/>
      <c r="AC184" s="102"/>
      <c r="AD184" s="102"/>
      <c r="AE184" s="102"/>
      <c r="AF184" s="102"/>
      <c r="AG184" s="99"/>
      <c r="AH184" s="99"/>
      <c r="AI184" s="99"/>
      <c r="AJ184" s="99"/>
      <c r="AK184" s="99"/>
      <c r="AL184" s="10"/>
      <c r="AM184" s="99"/>
      <c r="AN184" s="103"/>
      <c r="AO184" s="16"/>
    </row>
    <row r="185" spans="1:41" x14ac:dyDescent="0.25">
      <c r="A185" s="86"/>
      <c r="B185" s="92"/>
      <c r="C185" s="99"/>
      <c r="D185" s="10"/>
      <c r="E185" s="10"/>
      <c r="F185" s="99"/>
      <c r="G185" s="10"/>
      <c r="H185" s="10"/>
      <c r="I185" s="100"/>
      <c r="J185" s="93"/>
      <c r="K185" s="92"/>
      <c r="L185" s="99"/>
      <c r="M185" s="10"/>
      <c r="N185" s="10"/>
      <c r="O185" s="99"/>
      <c r="P185" s="10"/>
      <c r="Q185" s="10"/>
      <c r="R185" s="100"/>
      <c r="S185" s="93"/>
      <c r="T185" s="100"/>
      <c r="U185" s="105" t="e">
        <f>VLOOKUP(T185,Species!$A$2:$D$2230,2,FALSE)</f>
        <v>#N/A</v>
      </c>
      <c r="V185" s="105" t="e">
        <f>VLOOKUP(T185,Species!$A$2:$D$2230,3,FALSE)</f>
        <v>#N/A</v>
      </c>
      <c r="W185" s="105" t="e">
        <f>VLOOKUP(T185,Species!$A$2:$D$2230,4,FALSE)</f>
        <v>#N/A</v>
      </c>
      <c r="X185" s="10"/>
      <c r="Y185" s="10"/>
      <c r="Z185" s="101"/>
      <c r="AA185" s="99"/>
      <c r="AB185" s="99"/>
      <c r="AC185" s="102"/>
      <c r="AD185" s="102"/>
      <c r="AE185" s="102"/>
      <c r="AF185" s="102"/>
      <c r="AG185" s="99"/>
      <c r="AH185" s="99"/>
      <c r="AI185" s="99"/>
      <c r="AJ185" s="99"/>
      <c r="AK185" s="99"/>
      <c r="AL185" s="10"/>
      <c r="AM185" s="99"/>
      <c r="AN185" s="103"/>
      <c r="AO185" s="16"/>
    </row>
    <row r="186" spans="1:41" x14ac:dyDescent="0.25">
      <c r="A186" s="86"/>
      <c r="B186" s="92"/>
      <c r="C186" s="99"/>
      <c r="D186" s="10"/>
      <c r="E186" s="10"/>
      <c r="F186" s="99"/>
      <c r="G186" s="10"/>
      <c r="H186" s="10"/>
      <c r="I186" s="100"/>
      <c r="J186" s="93"/>
      <c r="K186" s="92"/>
      <c r="L186" s="99"/>
      <c r="M186" s="10"/>
      <c r="N186" s="10"/>
      <c r="O186" s="99"/>
      <c r="P186" s="10"/>
      <c r="Q186" s="10"/>
      <c r="R186" s="100"/>
      <c r="S186" s="93"/>
      <c r="T186" s="100"/>
      <c r="U186" s="105" t="e">
        <f>VLOOKUP(T186,Species!$A$2:$D$2230,2,FALSE)</f>
        <v>#N/A</v>
      </c>
      <c r="V186" s="105" t="e">
        <f>VLOOKUP(T186,Species!$A$2:$D$2230,3,FALSE)</f>
        <v>#N/A</v>
      </c>
      <c r="W186" s="105" t="e">
        <f>VLOOKUP(T186,Species!$A$2:$D$2230,4,FALSE)</f>
        <v>#N/A</v>
      </c>
      <c r="X186" s="10"/>
      <c r="Y186" s="10"/>
      <c r="Z186" s="101"/>
      <c r="AA186" s="99"/>
      <c r="AB186" s="99"/>
      <c r="AC186" s="102"/>
      <c r="AD186" s="102"/>
      <c r="AE186" s="102"/>
      <c r="AF186" s="102"/>
      <c r="AG186" s="99"/>
      <c r="AH186" s="99"/>
      <c r="AI186" s="99"/>
      <c r="AJ186" s="99"/>
      <c r="AK186" s="99"/>
      <c r="AL186" s="10"/>
      <c r="AM186" s="99"/>
      <c r="AN186" s="103"/>
      <c r="AO186" s="16"/>
    </row>
    <row r="187" spans="1:41" x14ac:dyDescent="0.25">
      <c r="A187" s="86"/>
      <c r="B187" s="92"/>
      <c r="C187" s="99"/>
      <c r="D187" s="10"/>
      <c r="E187" s="10"/>
      <c r="F187" s="99"/>
      <c r="G187" s="10"/>
      <c r="H187" s="10"/>
      <c r="I187" s="100"/>
      <c r="J187" s="93"/>
      <c r="K187" s="92"/>
      <c r="L187" s="99"/>
      <c r="M187" s="10"/>
      <c r="N187" s="10"/>
      <c r="O187" s="99"/>
      <c r="P187" s="10"/>
      <c r="Q187" s="10"/>
      <c r="R187" s="100"/>
      <c r="S187" s="93"/>
      <c r="T187" s="100"/>
      <c r="U187" s="105" t="e">
        <f>VLOOKUP(T187,Species!$A$2:$D$2230,2,FALSE)</f>
        <v>#N/A</v>
      </c>
      <c r="V187" s="105" t="e">
        <f>VLOOKUP(T187,Species!$A$2:$D$2230,3,FALSE)</f>
        <v>#N/A</v>
      </c>
      <c r="W187" s="105" t="e">
        <f>VLOOKUP(T187,Species!$A$2:$D$2230,4,FALSE)</f>
        <v>#N/A</v>
      </c>
      <c r="X187" s="10"/>
      <c r="Y187" s="10"/>
      <c r="Z187" s="101"/>
      <c r="AA187" s="99"/>
      <c r="AB187" s="99"/>
      <c r="AC187" s="102"/>
      <c r="AD187" s="102"/>
      <c r="AE187" s="102"/>
      <c r="AF187" s="102"/>
      <c r="AG187" s="99"/>
      <c r="AH187" s="99"/>
      <c r="AI187" s="99"/>
      <c r="AJ187" s="99"/>
      <c r="AK187" s="99"/>
      <c r="AL187" s="10"/>
      <c r="AM187" s="99"/>
      <c r="AN187" s="103"/>
      <c r="AO187" s="16"/>
    </row>
    <row r="188" spans="1:41" x14ac:dyDescent="0.25">
      <c r="A188" s="86"/>
      <c r="B188" s="92"/>
      <c r="C188" s="99"/>
      <c r="D188" s="10"/>
      <c r="E188" s="10"/>
      <c r="F188" s="99"/>
      <c r="G188" s="10"/>
      <c r="H188" s="10"/>
      <c r="I188" s="100"/>
      <c r="J188" s="93"/>
      <c r="K188" s="92"/>
      <c r="L188" s="99"/>
      <c r="M188" s="10"/>
      <c r="N188" s="10"/>
      <c r="O188" s="99"/>
      <c r="P188" s="10"/>
      <c r="Q188" s="10"/>
      <c r="R188" s="100"/>
      <c r="S188" s="93"/>
      <c r="T188" s="100"/>
      <c r="U188" s="105" t="e">
        <f>VLOOKUP(T188,Species!$A$2:$D$2230,2,FALSE)</f>
        <v>#N/A</v>
      </c>
      <c r="V188" s="105" t="e">
        <f>VLOOKUP(T188,Species!$A$2:$D$2230,3,FALSE)</f>
        <v>#N/A</v>
      </c>
      <c r="W188" s="105" t="e">
        <f>VLOOKUP(T188,Species!$A$2:$D$2230,4,FALSE)</f>
        <v>#N/A</v>
      </c>
      <c r="X188" s="10"/>
      <c r="Y188" s="10"/>
      <c r="Z188" s="101"/>
      <c r="AA188" s="99"/>
      <c r="AB188" s="99"/>
      <c r="AC188" s="102"/>
      <c r="AD188" s="102"/>
      <c r="AE188" s="102"/>
      <c r="AF188" s="102"/>
      <c r="AG188" s="99"/>
      <c r="AH188" s="99"/>
      <c r="AI188" s="99"/>
      <c r="AJ188" s="99"/>
      <c r="AK188" s="99"/>
      <c r="AL188" s="10"/>
      <c r="AM188" s="99"/>
      <c r="AN188" s="103"/>
      <c r="AO188" s="16"/>
    </row>
    <row r="189" spans="1:41" x14ac:dyDescent="0.25">
      <c r="A189" s="86"/>
      <c r="B189" s="92"/>
      <c r="C189" s="99"/>
      <c r="D189" s="10"/>
      <c r="E189" s="10"/>
      <c r="F189" s="99"/>
      <c r="G189" s="10"/>
      <c r="H189" s="10"/>
      <c r="I189" s="100"/>
      <c r="J189" s="93"/>
      <c r="K189" s="92"/>
      <c r="L189" s="99"/>
      <c r="M189" s="10"/>
      <c r="N189" s="10"/>
      <c r="O189" s="99"/>
      <c r="P189" s="10"/>
      <c r="Q189" s="10"/>
      <c r="R189" s="100"/>
      <c r="S189" s="93"/>
      <c r="T189" s="100"/>
      <c r="U189" s="105" t="e">
        <f>VLOOKUP(T189,Species!$A$2:$D$2230,2,FALSE)</f>
        <v>#N/A</v>
      </c>
      <c r="V189" s="105" t="e">
        <f>VLOOKUP(T189,Species!$A$2:$D$2230,3,FALSE)</f>
        <v>#N/A</v>
      </c>
      <c r="W189" s="105" t="e">
        <f>VLOOKUP(T189,Species!$A$2:$D$2230,4,FALSE)</f>
        <v>#N/A</v>
      </c>
      <c r="X189" s="10"/>
      <c r="Y189" s="10"/>
      <c r="Z189" s="101"/>
      <c r="AA189" s="99"/>
      <c r="AB189" s="99"/>
      <c r="AC189" s="102"/>
      <c r="AD189" s="102"/>
      <c r="AE189" s="102"/>
      <c r="AF189" s="102"/>
      <c r="AG189" s="99"/>
      <c r="AH189" s="99"/>
      <c r="AI189" s="99"/>
      <c r="AJ189" s="99"/>
      <c r="AK189" s="99"/>
      <c r="AL189" s="10"/>
      <c r="AM189" s="99"/>
      <c r="AN189" s="103"/>
      <c r="AO189" s="16"/>
    </row>
    <row r="190" spans="1:41" x14ac:dyDescent="0.25">
      <c r="A190" s="86"/>
      <c r="B190" s="92"/>
      <c r="C190" s="99"/>
      <c r="D190" s="10"/>
      <c r="E190" s="10"/>
      <c r="F190" s="99"/>
      <c r="G190" s="10"/>
      <c r="H190" s="10"/>
      <c r="I190" s="100"/>
      <c r="J190" s="93"/>
      <c r="K190" s="92"/>
      <c r="L190" s="99"/>
      <c r="M190" s="10"/>
      <c r="N190" s="10"/>
      <c r="O190" s="99"/>
      <c r="P190" s="10"/>
      <c r="Q190" s="10"/>
      <c r="R190" s="100"/>
      <c r="S190" s="93"/>
      <c r="T190" s="100"/>
      <c r="U190" s="105" t="e">
        <f>VLOOKUP(T190,Species!$A$2:$D$2230,2,FALSE)</f>
        <v>#N/A</v>
      </c>
      <c r="V190" s="105" t="e">
        <f>VLOOKUP(T190,Species!$A$2:$D$2230,3,FALSE)</f>
        <v>#N/A</v>
      </c>
      <c r="W190" s="105" t="e">
        <f>VLOOKUP(T190,Species!$A$2:$D$2230,4,FALSE)</f>
        <v>#N/A</v>
      </c>
      <c r="X190" s="10"/>
      <c r="Y190" s="10"/>
      <c r="Z190" s="101"/>
      <c r="AA190" s="99"/>
      <c r="AB190" s="99"/>
      <c r="AC190" s="102"/>
      <c r="AD190" s="102"/>
      <c r="AE190" s="102"/>
      <c r="AF190" s="102"/>
      <c r="AG190" s="99"/>
      <c r="AH190" s="99"/>
      <c r="AI190" s="99"/>
      <c r="AJ190" s="99"/>
      <c r="AK190" s="99"/>
      <c r="AL190" s="10"/>
      <c r="AM190" s="99"/>
      <c r="AN190" s="103"/>
      <c r="AO190" s="16"/>
    </row>
    <row r="191" spans="1:41" x14ac:dyDescent="0.25">
      <c r="A191" s="86"/>
      <c r="B191" s="92"/>
      <c r="C191" s="99"/>
      <c r="D191" s="10"/>
      <c r="E191" s="10"/>
      <c r="F191" s="99"/>
      <c r="G191" s="10"/>
      <c r="H191" s="10"/>
      <c r="I191" s="100"/>
      <c r="J191" s="93"/>
      <c r="K191" s="92"/>
      <c r="L191" s="99"/>
      <c r="M191" s="10"/>
      <c r="N191" s="10"/>
      <c r="O191" s="99"/>
      <c r="P191" s="10"/>
      <c r="Q191" s="10"/>
      <c r="R191" s="100"/>
      <c r="S191" s="93"/>
      <c r="T191" s="100"/>
      <c r="U191" s="105" t="e">
        <f>VLOOKUP(T191,Species!$A$2:$D$2230,2,FALSE)</f>
        <v>#N/A</v>
      </c>
      <c r="V191" s="105" t="e">
        <f>VLOOKUP(T191,Species!$A$2:$D$2230,3,FALSE)</f>
        <v>#N/A</v>
      </c>
      <c r="W191" s="105" t="e">
        <f>VLOOKUP(T191,Species!$A$2:$D$2230,4,FALSE)</f>
        <v>#N/A</v>
      </c>
      <c r="X191" s="10"/>
      <c r="Y191" s="10"/>
      <c r="Z191" s="101"/>
      <c r="AA191" s="99"/>
      <c r="AB191" s="99"/>
      <c r="AC191" s="102"/>
      <c r="AD191" s="102"/>
      <c r="AE191" s="102"/>
      <c r="AF191" s="102"/>
      <c r="AG191" s="99"/>
      <c r="AH191" s="99"/>
      <c r="AI191" s="99"/>
      <c r="AJ191" s="99"/>
      <c r="AK191" s="99"/>
      <c r="AL191" s="10"/>
      <c r="AM191" s="99"/>
      <c r="AN191" s="103"/>
      <c r="AO191" s="16"/>
    </row>
    <row r="192" spans="1:41" x14ac:dyDescent="0.25">
      <c r="A192" s="87"/>
      <c r="B192" s="94"/>
      <c r="C192" s="99"/>
      <c r="D192" s="54"/>
      <c r="E192" s="54"/>
      <c r="F192" s="99"/>
      <c r="G192" s="54"/>
      <c r="H192" s="54"/>
      <c r="I192" s="100"/>
      <c r="J192" s="95"/>
      <c r="K192" s="94"/>
      <c r="L192" s="99"/>
      <c r="M192" s="54"/>
      <c r="N192" s="54"/>
      <c r="O192" s="99"/>
      <c r="P192" s="54"/>
      <c r="Q192" s="54"/>
      <c r="R192" s="100"/>
      <c r="S192" s="95"/>
      <c r="T192" s="100"/>
      <c r="U192" s="105" t="e">
        <f>VLOOKUP(T192,Species!$A$2:$D$2230,2,FALSE)</f>
        <v>#N/A</v>
      </c>
      <c r="V192" s="105" t="e">
        <f>VLOOKUP(T192,Species!$A$2:$D$2230,3,FALSE)</f>
        <v>#N/A</v>
      </c>
      <c r="W192" s="105" t="e">
        <f>VLOOKUP(T192,Species!$A$2:$D$2230,4,FALSE)</f>
        <v>#N/A</v>
      </c>
      <c r="X192" s="54"/>
      <c r="Y192" s="54"/>
      <c r="Z192" s="101"/>
      <c r="AA192" s="99"/>
      <c r="AB192" s="99"/>
      <c r="AC192" s="102"/>
      <c r="AD192" s="102"/>
      <c r="AE192" s="102"/>
      <c r="AF192" s="102"/>
      <c r="AG192" s="102"/>
      <c r="AH192" s="102"/>
      <c r="AI192" s="102"/>
      <c r="AJ192" s="102"/>
      <c r="AK192" s="102"/>
      <c r="AL192" s="54"/>
      <c r="AM192" s="102"/>
      <c r="AN192" s="104"/>
      <c r="AO192" s="16"/>
    </row>
    <row r="193" spans="1:41" x14ac:dyDescent="0.25">
      <c r="A193" s="86"/>
      <c r="B193" s="92"/>
      <c r="C193" s="99"/>
      <c r="D193" s="10"/>
      <c r="E193" s="10"/>
      <c r="F193" s="99"/>
      <c r="G193" s="10"/>
      <c r="H193" s="10"/>
      <c r="I193" s="100"/>
      <c r="J193" s="93"/>
      <c r="K193" s="92"/>
      <c r="L193" s="99"/>
      <c r="M193" s="10"/>
      <c r="N193" s="10"/>
      <c r="O193" s="99"/>
      <c r="P193" s="10"/>
      <c r="Q193" s="10"/>
      <c r="R193" s="100"/>
      <c r="S193" s="93"/>
      <c r="T193" s="100"/>
      <c r="U193" s="105" t="e">
        <f>VLOOKUP(T193,Species!$A$2:$D$2230,2,FALSE)</f>
        <v>#N/A</v>
      </c>
      <c r="V193" s="105" t="e">
        <f>VLOOKUP(T193,Species!$A$2:$D$2230,3,FALSE)</f>
        <v>#N/A</v>
      </c>
      <c r="W193" s="105" t="e">
        <f>VLOOKUP(T193,Species!$A$2:$D$2230,4,FALSE)</f>
        <v>#N/A</v>
      </c>
      <c r="X193" s="10"/>
      <c r="Y193" s="10"/>
      <c r="Z193" s="101"/>
      <c r="AA193" s="99"/>
      <c r="AB193" s="99"/>
      <c r="AC193" s="102"/>
      <c r="AD193" s="102"/>
      <c r="AE193" s="102"/>
      <c r="AF193" s="102"/>
      <c r="AG193" s="99"/>
      <c r="AH193" s="99"/>
      <c r="AI193" s="99"/>
      <c r="AJ193" s="99"/>
      <c r="AK193" s="99"/>
      <c r="AL193" s="10"/>
      <c r="AM193" s="99"/>
      <c r="AN193" s="103"/>
      <c r="AO193" s="16"/>
    </row>
    <row r="194" spans="1:41" x14ac:dyDescent="0.25">
      <c r="A194" s="86"/>
      <c r="B194" s="92"/>
      <c r="C194" s="99"/>
      <c r="D194" s="10"/>
      <c r="E194" s="10"/>
      <c r="F194" s="99"/>
      <c r="G194" s="10"/>
      <c r="H194" s="10"/>
      <c r="I194" s="100"/>
      <c r="J194" s="93"/>
      <c r="K194" s="92"/>
      <c r="L194" s="99"/>
      <c r="M194" s="10"/>
      <c r="N194" s="10"/>
      <c r="O194" s="99"/>
      <c r="P194" s="10"/>
      <c r="Q194" s="10"/>
      <c r="R194" s="100"/>
      <c r="S194" s="93"/>
      <c r="T194" s="100"/>
      <c r="U194" s="105" t="e">
        <f>VLOOKUP(T194,Species!$A$2:$D$2230,2,FALSE)</f>
        <v>#N/A</v>
      </c>
      <c r="V194" s="105" t="e">
        <f>VLOOKUP(T194,Species!$A$2:$D$2230,3,FALSE)</f>
        <v>#N/A</v>
      </c>
      <c r="W194" s="105" t="e">
        <f>VLOOKUP(T194,Species!$A$2:$D$2230,4,FALSE)</f>
        <v>#N/A</v>
      </c>
      <c r="X194" s="10"/>
      <c r="Y194" s="10"/>
      <c r="Z194" s="101"/>
      <c r="AA194" s="99"/>
      <c r="AB194" s="99"/>
      <c r="AC194" s="102"/>
      <c r="AD194" s="102"/>
      <c r="AE194" s="102"/>
      <c r="AF194" s="102"/>
      <c r="AG194" s="99"/>
      <c r="AH194" s="99"/>
      <c r="AI194" s="99"/>
      <c r="AJ194" s="99"/>
      <c r="AK194" s="99"/>
      <c r="AL194" s="10"/>
      <c r="AM194" s="99"/>
      <c r="AN194" s="103"/>
      <c r="AO194" s="16"/>
    </row>
    <row r="195" spans="1:41" x14ac:dyDescent="0.25">
      <c r="A195" s="86"/>
      <c r="B195" s="92"/>
      <c r="C195" s="99"/>
      <c r="D195" s="10"/>
      <c r="E195" s="10"/>
      <c r="F195" s="99"/>
      <c r="G195" s="10"/>
      <c r="H195" s="10"/>
      <c r="I195" s="100"/>
      <c r="J195" s="93"/>
      <c r="K195" s="92"/>
      <c r="L195" s="99"/>
      <c r="M195" s="10"/>
      <c r="N195" s="10"/>
      <c r="O195" s="99"/>
      <c r="P195" s="10"/>
      <c r="Q195" s="10"/>
      <c r="R195" s="100"/>
      <c r="S195" s="93"/>
      <c r="T195" s="100"/>
      <c r="U195" s="105" t="e">
        <f>VLOOKUP(T195,Species!$A$2:$D$2230,2,FALSE)</f>
        <v>#N/A</v>
      </c>
      <c r="V195" s="105" t="e">
        <f>VLOOKUP(T195,Species!$A$2:$D$2230,3,FALSE)</f>
        <v>#N/A</v>
      </c>
      <c r="W195" s="105" t="e">
        <f>VLOOKUP(T195,Species!$A$2:$D$2230,4,FALSE)</f>
        <v>#N/A</v>
      </c>
      <c r="X195" s="10"/>
      <c r="Y195" s="10"/>
      <c r="Z195" s="101"/>
      <c r="AA195" s="99"/>
      <c r="AB195" s="99"/>
      <c r="AC195" s="102"/>
      <c r="AD195" s="102"/>
      <c r="AE195" s="102"/>
      <c r="AF195" s="102"/>
      <c r="AG195" s="99"/>
      <c r="AH195" s="99"/>
      <c r="AI195" s="99"/>
      <c r="AJ195" s="99"/>
      <c r="AK195" s="99"/>
      <c r="AL195" s="10"/>
      <c r="AM195" s="99"/>
      <c r="AN195" s="103"/>
      <c r="AO195" s="16"/>
    </row>
    <row r="196" spans="1:41" x14ac:dyDescent="0.25">
      <c r="A196" s="86"/>
      <c r="B196" s="92"/>
      <c r="C196" s="99"/>
      <c r="D196" s="10"/>
      <c r="E196" s="10"/>
      <c r="F196" s="99"/>
      <c r="G196" s="10"/>
      <c r="H196" s="10"/>
      <c r="I196" s="100"/>
      <c r="J196" s="93"/>
      <c r="K196" s="92"/>
      <c r="L196" s="99"/>
      <c r="M196" s="10"/>
      <c r="N196" s="10"/>
      <c r="O196" s="99"/>
      <c r="P196" s="10"/>
      <c r="Q196" s="10"/>
      <c r="R196" s="100"/>
      <c r="S196" s="93"/>
      <c r="T196" s="100"/>
      <c r="U196" s="105" t="e">
        <f>VLOOKUP(T196,Species!$A$2:$D$2230,2,FALSE)</f>
        <v>#N/A</v>
      </c>
      <c r="V196" s="105" t="e">
        <f>VLOOKUP(T196,Species!$A$2:$D$2230,3,FALSE)</f>
        <v>#N/A</v>
      </c>
      <c r="W196" s="105" t="e">
        <f>VLOOKUP(T196,Species!$A$2:$D$2230,4,FALSE)</f>
        <v>#N/A</v>
      </c>
      <c r="X196" s="10"/>
      <c r="Y196" s="10"/>
      <c r="Z196" s="101"/>
      <c r="AA196" s="99"/>
      <c r="AB196" s="99"/>
      <c r="AC196" s="102"/>
      <c r="AD196" s="102"/>
      <c r="AE196" s="102"/>
      <c r="AF196" s="102"/>
      <c r="AG196" s="99"/>
      <c r="AH196" s="99"/>
      <c r="AI196" s="99"/>
      <c r="AJ196" s="99"/>
      <c r="AK196" s="99"/>
      <c r="AL196" s="10"/>
      <c r="AM196" s="99"/>
      <c r="AN196" s="103"/>
      <c r="AO196" s="16"/>
    </row>
    <row r="197" spans="1:41" x14ac:dyDescent="0.25">
      <c r="A197" s="86"/>
      <c r="B197" s="92"/>
      <c r="C197" s="99"/>
      <c r="D197" s="10"/>
      <c r="E197" s="10"/>
      <c r="F197" s="99"/>
      <c r="G197" s="10"/>
      <c r="H197" s="10"/>
      <c r="I197" s="100"/>
      <c r="J197" s="93"/>
      <c r="K197" s="92"/>
      <c r="L197" s="99"/>
      <c r="M197" s="10"/>
      <c r="N197" s="10"/>
      <c r="O197" s="99"/>
      <c r="P197" s="10"/>
      <c r="Q197" s="10"/>
      <c r="R197" s="100"/>
      <c r="S197" s="93"/>
      <c r="T197" s="100"/>
      <c r="U197" s="105" t="e">
        <f>VLOOKUP(T197,Species!$A$2:$D$2230,2,FALSE)</f>
        <v>#N/A</v>
      </c>
      <c r="V197" s="105" t="e">
        <f>VLOOKUP(T197,Species!$A$2:$D$2230,3,FALSE)</f>
        <v>#N/A</v>
      </c>
      <c r="W197" s="105" t="e">
        <f>VLOOKUP(T197,Species!$A$2:$D$2230,4,FALSE)</f>
        <v>#N/A</v>
      </c>
      <c r="X197" s="10"/>
      <c r="Y197" s="10"/>
      <c r="Z197" s="101"/>
      <c r="AA197" s="99"/>
      <c r="AB197" s="99"/>
      <c r="AC197" s="102"/>
      <c r="AD197" s="102"/>
      <c r="AE197" s="102"/>
      <c r="AF197" s="102"/>
      <c r="AG197" s="99"/>
      <c r="AH197" s="99"/>
      <c r="AI197" s="99"/>
      <c r="AJ197" s="99"/>
      <c r="AK197" s="99"/>
      <c r="AL197" s="10"/>
      <c r="AM197" s="99"/>
      <c r="AN197" s="103"/>
      <c r="AO197" s="16"/>
    </row>
    <row r="198" spans="1:41" x14ac:dyDescent="0.25">
      <c r="A198" s="86"/>
      <c r="B198" s="92"/>
      <c r="C198" s="99"/>
      <c r="D198" s="10"/>
      <c r="E198" s="10"/>
      <c r="F198" s="99"/>
      <c r="G198" s="10"/>
      <c r="H198" s="10"/>
      <c r="I198" s="100"/>
      <c r="J198" s="93"/>
      <c r="K198" s="92"/>
      <c r="L198" s="99"/>
      <c r="M198" s="10"/>
      <c r="N198" s="10"/>
      <c r="O198" s="99"/>
      <c r="P198" s="10"/>
      <c r="Q198" s="10"/>
      <c r="R198" s="100"/>
      <c r="S198" s="93"/>
      <c r="T198" s="100"/>
      <c r="U198" s="105" t="e">
        <f>VLOOKUP(T198,Species!$A$2:$D$2230,2,FALSE)</f>
        <v>#N/A</v>
      </c>
      <c r="V198" s="105" t="e">
        <f>VLOOKUP(T198,Species!$A$2:$D$2230,3,FALSE)</f>
        <v>#N/A</v>
      </c>
      <c r="W198" s="105" t="e">
        <f>VLOOKUP(T198,Species!$A$2:$D$2230,4,FALSE)</f>
        <v>#N/A</v>
      </c>
      <c r="X198" s="10"/>
      <c r="Y198" s="10"/>
      <c r="Z198" s="101"/>
      <c r="AA198" s="99"/>
      <c r="AB198" s="99"/>
      <c r="AC198" s="102"/>
      <c r="AD198" s="102"/>
      <c r="AE198" s="102"/>
      <c r="AF198" s="102"/>
      <c r="AG198" s="99"/>
      <c r="AH198" s="99"/>
      <c r="AI198" s="99"/>
      <c r="AJ198" s="99"/>
      <c r="AK198" s="99"/>
      <c r="AL198" s="10"/>
      <c r="AM198" s="99"/>
      <c r="AN198" s="103"/>
      <c r="AO198" s="16"/>
    </row>
    <row r="199" spans="1:41" x14ac:dyDescent="0.25">
      <c r="A199" s="86"/>
      <c r="B199" s="92"/>
      <c r="C199" s="99"/>
      <c r="D199" s="10"/>
      <c r="E199" s="10"/>
      <c r="F199" s="99"/>
      <c r="G199" s="10"/>
      <c r="H199" s="10"/>
      <c r="I199" s="100"/>
      <c r="J199" s="93"/>
      <c r="K199" s="92"/>
      <c r="L199" s="99"/>
      <c r="M199" s="10"/>
      <c r="N199" s="10"/>
      <c r="O199" s="99"/>
      <c r="P199" s="10"/>
      <c r="Q199" s="10"/>
      <c r="R199" s="100"/>
      <c r="S199" s="93"/>
      <c r="T199" s="100"/>
      <c r="U199" s="105" t="e">
        <f>VLOOKUP(T199,Species!$A$2:$D$2230,2,FALSE)</f>
        <v>#N/A</v>
      </c>
      <c r="V199" s="105" t="e">
        <f>VLOOKUP(T199,Species!$A$2:$D$2230,3,FALSE)</f>
        <v>#N/A</v>
      </c>
      <c r="W199" s="105" t="e">
        <f>VLOOKUP(T199,Species!$A$2:$D$2230,4,FALSE)</f>
        <v>#N/A</v>
      </c>
      <c r="X199" s="10"/>
      <c r="Y199" s="10"/>
      <c r="Z199" s="101"/>
      <c r="AA199" s="99"/>
      <c r="AB199" s="99"/>
      <c r="AC199" s="102"/>
      <c r="AD199" s="102"/>
      <c r="AE199" s="102"/>
      <c r="AF199" s="102"/>
      <c r="AG199" s="99"/>
      <c r="AH199" s="99"/>
      <c r="AI199" s="99"/>
      <c r="AJ199" s="99"/>
      <c r="AK199" s="99"/>
      <c r="AL199" s="10"/>
      <c r="AM199" s="99"/>
      <c r="AN199" s="103"/>
      <c r="AO199" s="16"/>
    </row>
    <row r="200" spans="1:41" ht="15.75" thickBot="1" x14ac:dyDescent="0.3">
      <c r="A200" s="86"/>
      <c r="B200" s="96"/>
      <c r="C200" s="106"/>
      <c r="D200" s="97"/>
      <c r="E200" s="97"/>
      <c r="F200" s="106"/>
      <c r="G200" s="97"/>
      <c r="H200" s="97"/>
      <c r="I200" s="107"/>
      <c r="J200" s="98"/>
      <c r="K200" s="96"/>
      <c r="L200" s="106"/>
      <c r="M200" s="97"/>
      <c r="N200" s="97"/>
      <c r="O200" s="106"/>
      <c r="P200" s="97"/>
      <c r="Q200" s="97"/>
      <c r="R200" s="107"/>
      <c r="S200" s="98"/>
      <c r="T200" s="100"/>
      <c r="U200" s="105" t="e">
        <f>VLOOKUP(T200,Species!$A$2:$D$2230,2,FALSE)</f>
        <v>#N/A</v>
      </c>
      <c r="V200" s="105" t="e">
        <f>VLOOKUP(T200,Species!$A$2:$D$2230,3,FALSE)</f>
        <v>#N/A</v>
      </c>
      <c r="W200" s="105" t="e">
        <f>VLOOKUP(T200,Species!$A$2:$D$2230,4,FALSE)</f>
        <v>#N/A</v>
      </c>
      <c r="X200" s="10"/>
      <c r="Y200" s="10"/>
      <c r="Z200" s="101"/>
      <c r="AA200" s="99"/>
      <c r="AB200" s="99"/>
      <c r="AC200" s="102"/>
      <c r="AD200" s="102"/>
      <c r="AE200" s="102"/>
      <c r="AF200" s="102"/>
      <c r="AG200" s="99"/>
      <c r="AH200" s="99"/>
      <c r="AI200" s="99"/>
      <c r="AJ200" s="99"/>
      <c r="AK200" s="99"/>
      <c r="AL200" s="10"/>
      <c r="AM200" s="99"/>
      <c r="AN200" s="103"/>
      <c r="AO200" s="16"/>
    </row>
  </sheetData>
  <pageMargins left="0.7" right="0.7" top="0.75" bottom="0.75" header="0.3" footer="0.3"/>
  <extLst>
    <ext xmlns:x14="http://schemas.microsoft.com/office/spreadsheetml/2009/9/main" uri="{CCE6A557-97BC-4b89-ADB6-D9C93CAAB3DF}">
      <x14:dataValidations xmlns:xm="http://schemas.microsoft.com/office/excel/2006/main" count="14">
        <x14:dataValidation type="list" allowBlank="1" showInputMessage="1" showErrorMessage="1" xr:uid="{2FC1C3A2-D55A-4BB9-B81B-B8AE58BF0974}">
          <x14:formula1>
            <xm:f>'Look-up Values'!$I$2:$I$6</xm:f>
          </x14:formula1>
          <xm:sqref>AN2:AN200</xm:sqref>
        </x14:dataValidation>
        <x14:dataValidation type="list" allowBlank="1" showInputMessage="1" showErrorMessage="1" xr:uid="{913440AE-C4B0-4FC9-B6CD-BE3C8D89BD24}">
          <x14:formula1>
            <xm:f>'Look-up Values'!$H$2:$H$7</xm:f>
          </x14:formula1>
          <xm:sqref>AM2:AM200</xm:sqref>
        </x14:dataValidation>
        <x14:dataValidation type="list" allowBlank="1" showInputMessage="1" showErrorMessage="1" xr:uid="{D3885F98-CA14-4BDF-B4F4-3A774B934B5E}">
          <x14:formula1>
            <xm:f>'Look-up Values'!$G$2:$G$8</xm:f>
          </x14:formula1>
          <xm:sqref>AK2:AK200</xm:sqref>
        </x14:dataValidation>
        <x14:dataValidation type="list" allowBlank="1" showInputMessage="1" showErrorMessage="1" xr:uid="{4B1C349F-C5A6-4A38-B36A-21B7BA8EF726}">
          <x14:formula1>
            <xm:f>'Look-up Values'!$F$2:$F$11</xm:f>
          </x14:formula1>
          <xm:sqref>AI2:AI200</xm:sqref>
        </x14:dataValidation>
        <x14:dataValidation type="list" allowBlank="1" showInputMessage="1" showErrorMessage="1" xr:uid="{AC74654A-973A-4A3A-9C5C-45CE89D70D58}">
          <x14:formula1>
            <xm:f>'Look-up Values'!$E$2:$E$11</xm:f>
          </x14:formula1>
          <xm:sqref>AG2:AG200</xm:sqref>
        </x14:dataValidation>
        <x14:dataValidation type="list" allowBlank="1" showInputMessage="1" showErrorMessage="1" xr:uid="{FDA62866-9E35-4886-B731-E92B01371E79}">
          <x14:formula1>
            <xm:f>'Look-up Values'!$D$2:$D$3</xm:f>
          </x14:formula1>
          <xm:sqref>AF2:AF200</xm:sqref>
        </x14:dataValidation>
        <x14:dataValidation type="list" allowBlank="1" showInputMessage="1" showErrorMessage="1" xr:uid="{AEB3ED65-FBE8-43D1-800F-9632D9F52D44}">
          <x14:formula1>
            <xm:f>'Look-up Values'!$C$2:$C$8</xm:f>
          </x14:formula1>
          <xm:sqref>AC2:AE200</xm:sqref>
        </x14:dataValidation>
        <x14:dataValidation type="list" allowBlank="1" showInputMessage="1" showErrorMessage="1" xr:uid="{99EEFC35-FB30-400B-9A33-8648CE549189}">
          <x14:formula1>
            <xm:f>'Look-up Values'!$A$2:$A$33</xm:f>
          </x14:formula1>
          <xm:sqref>AA2:AA200</xm:sqref>
        </x14:dataValidation>
        <x14:dataValidation type="list" allowBlank="1" showInputMessage="1" showErrorMessage="1" xr:uid="{917A0C60-139D-4AEA-AD66-E7AC11A5F363}">
          <x14:formula1>
            <xm:f>'Look-up Values'!$N$2:$N$5</xm:f>
          </x14:formula1>
          <xm:sqref>Z2:Z200</xm:sqref>
        </x14:dataValidation>
        <x14:dataValidation type="list" allowBlank="1" showInputMessage="1" showErrorMessage="1" xr:uid="{B7231411-BE83-46B6-BDB8-A086C8348FB4}">
          <x14:formula1>
            <xm:f>Species!$A$2:$A$2230</xm:f>
          </x14:formula1>
          <xm:sqref>T2:T200</xm:sqref>
        </x14:dataValidation>
        <x14:dataValidation type="list" allowBlank="1" showInputMessage="1" showErrorMessage="1" xr:uid="{F000848A-2651-4918-B88B-29A1A2F543E6}">
          <x14:formula1>
            <xm:f>'Look-up Values'!$L$2:$L$7</xm:f>
          </x14:formula1>
          <xm:sqref>I2:I200 R2:R200</xm:sqref>
        </x14:dataValidation>
        <x14:dataValidation type="list" allowBlank="1" showInputMessage="1" showErrorMessage="1" xr:uid="{40D5E2A7-6C6E-4CEC-A296-D55AA60DD049}">
          <x14:formula1>
            <xm:f>'Look-up Values'!$K$2:$K$5</xm:f>
          </x14:formula1>
          <xm:sqref>F2:F200 O2:O200</xm:sqref>
        </x14:dataValidation>
        <x14:dataValidation type="list" allowBlank="1" showInputMessage="1" showErrorMessage="1" xr:uid="{0BF997A8-95FA-491B-8850-C5BA76C75087}">
          <x14:formula1>
            <xm:f>'Look-up Values'!$J$2:$J$5</xm:f>
          </x14:formula1>
          <xm:sqref>C2:C200 L2:L200</xm:sqref>
        </x14:dataValidation>
        <x14:dataValidation type="list" allowBlank="1" showInputMessage="1" showErrorMessage="1" xr:uid="{0D343E10-2694-4110-B916-37AFB1D7FC1B}">
          <x14:formula1>
            <xm:f>'Look-up Values'!$B$2:$B$23</xm:f>
          </x14:formula1>
          <xm:sqref>AB2:AB200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BCAA-3AB4-4DC5-820C-79D279809E5A}">
  <dimension ref="A1:U50"/>
  <sheetViews>
    <sheetView topLeftCell="A9" workbookViewId="0">
      <selection activeCell="B30" sqref="B30"/>
    </sheetView>
  </sheetViews>
  <sheetFormatPr defaultColWidth="9.140625" defaultRowHeight="15" x14ac:dyDescent="0.25"/>
  <cols>
    <col min="1" max="1" width="41.28515625" style="22" bestFit="1" customWidth="1"/>
    <col min="2" max="2" width="68.5703125" style="22" customWidth="1"/>
    <col min="3" max="3" width="19.42578125" style="22" customWidth="1"/>
    <col min="4" max="4" width="13.7109375" style="22" customWidth="1"/>
    <col min="5" max="5" width="36" style="22" customWidth="1"/>
    <col min="6" max="6" width="33.85546875" style="22" customWidth="1"/>
    <col min="7" max="7" width="25.28515625" style="22" customWidth="1"/>
    <col min="8" max="8" width="24.28515625" style="22" bestFit="1" customWidth="1"/>
    <col min="9" max="9" width="26.28515625" style="22" bestFit="1" customWidth="1"/>
    <col min="10" max="10" width="7.85546875" style="22" bestFit="1" customWidth="1"/>
    <col min="11" max="11" width="5.85546875" style="22" bestFit="1" customWidth="1"/>
    <col min="12" max="12" width="10.7109375" style="22" bestFit="1" customWidth="1"/>
    <col min="13" max="13" width="43.42578125" style="22" bestFit="1" customWidth="1"/>
    <col min="14" max="14" width="10.7109375" style="22" bestFit="1" customWidth="1"/>
    <col min="15" max="16384" width="9.140625" style="22"/>
  </cols>
  <sheetData>
    <row r="1" spans="1:15" x14ac:dyDescent="0.25">
      <c r="A1" s="36" t="s">
        <v>63</v>
      </c>
      <c r="B1" s="36" t="s">
        <v>66</v>
      </c>
      <c r="C1" s="36" t="s">
        <v>68</v>
      </c>
      <c r="D1" s="36" t="s">
        <v>106</v>
      </c>
      <c r="E1" s="36" t="s">
        <v>107</v>
      </c>
      <c r="F1" s="36" t="s">
        <v>108</v>
      </c>
      <c r="G1" s="36" t="s">
        <v>74</v>
      </c>
      <c r="H1" s="36" t="s">
        <v>109</v>
      </c>
      <c r="I1" s="36" t="s">
        <v>110</v>
      </c>
      <c r="J1" s="3" t="s">
        <v>16</v>
      </c>
      <c r="K1" s="3" t="s">
        <v>27</v>
      </c>
      <c r="L1" s="3" t="s">
        <v>39</v>
      </c>
      <c r="N1" s="3" t="s">
        <v>60</v>
      </c>
    </row>
    <row r="2" spans="1:15" customFormat="1" x14ac:dyDescent="0.25">
      <c r="A2" s="40" t="s">
        <v>97</v>
      </c>
      <c r="B2" s="110" t="s">
        <v>115</v>
      </c>
      <c r="C2" s="110" t="s">
        <v>116</v>
      </c>
      <c r="D2" s="41" t="s">
        <v>117</v>
      </c>
      <c r="E2" t="s">
        <v>116</v>
      </c>
      <c r="F2" t="s">
        <v>116</v>
      </c>
      <c r="G2" s="110" t="s">
        <v>116</v>
      </c>
      <c r="H2" s="110" t="s">
        <v>116</v>
      </c>
      <c r="I2" s="110" t="s">
        <v>118</v>
      </c>
      <c r="J2" t="s">
        <v>119</v>
      </c>
      <c r="K2">
        <v>49</v>
      </c>
      <c r="L2">
        <v>1</v>
      </c>
      <c r="M2" t="s">
        <v>120</v>
      </c>
      <c r="N2">
        <v>1</v>
      </c>
      <c r="O2" t="s">
        <v>121</v>
      </c>
    </row>
    <row r="3" spans="1:15" customFormat="1" x14ac:dyDescent="0.25">
      <c r="A3" s="42" t="s">
        <v>122</v>
      </c>
      <c r="B3" s="43" t="s">
        <v>123</v>
      </c>
      <c r="C3" s="44" t="s">
        <v>124</v>
      </c>
      <c r="D3" s="44" t="s">
        <v>125</v>
      </c>
      <c r="E3" s="44" t="s">
        <v>126</v>
      </c>
      <c r="F3" s="44" t="s">
        <v>126</v>
      </c>
      <c r="G3" s="44" t="s">
        <v>127</v>
      </c>
      <c r="H3" s="43" t="s">
        <v>128</v>
      </c>
      <c r="I3" s="43" t="s">
        <v>129</v>
      </c>
      <c r="J3" t="s">
        <v>130</v>
      </c>
      <c r="K3">
        <v>50</v>
      </c>
      <c r="L3">
        <v>2</v>
      </c>
      <c r="M3" t="s">
        <v>131</v>
      </c>
      <c r="N3">
        <v>2</v>
      </c>
      <c r="O3" t="s">
        <v>132</v>
      </c>
    </row>
    <row r="4" spans="1:15" customFormat="1" x14ac:dyDescent="0.25">
      <c r="A4" s="42" t="s">
        <v>133</v>
      </c>
      <c r="B4" s="43" t="s">
        <v>134</v>
      </c>
      <c r="C4" s="43" t="s">
        <v>135</v>
      </c>
      <c r="D4" s="44"/>
      <c r="E4" s="44" t="s">
        <v>136</v>
      </c>
      <c r="F4" s="44" t="s">
        <v>136</v>
      </c>
      <c r="G4" s="44" t="s">
        <v>137</v>
      </c>
      <c r="H4" s="43" t="s">
        <v>138</v>
      </c>
      <c r="I4" s="43" t="s">
        <v>139</v>
      </c>
      <c r="J4" t="s">
        <v>140</v>
      </c>
      <c r="K4">
        <v>51</v>
      </c>
      <c r="L4">
        <v>3</v>
      </c>
      <c r="M4" t="s">
        <v>141</v>
      </c>
      <c r="N4">
        <v>3</v>
      </c>
      <c r="O4" t="s">
        <v>142</v>
      </c>
    </row>
    <row r="5" spans="1:15" customFormat="1" x14ac:dyDescent="0.25">
      <c r="A5" s="40" t="s">
        <v>143</v>
      </c>
      <c r="B5" s="43" t="s">
        <v>144</v>
      </c>
      <c r="C5" s="43" t="s">
        <v>145</v>
      </c>
      <c r="D5" s="43"/>
      <c r="E5" s="44" t="s">
        <v>146</v>
      </c>
      <c r="F5" s="44" t="s">
        <v>146</v>
      </c>
      <c r="G5" s="44" t="s">
        <v>147</v>
      </c>
      <c r="H5" s="43" t="s">
        <v>148</v>
      </c>
      <c r="I5" s="43" t="s">
        <v>149</v>
      </c>
      <c r="J5" t="s">
        <v>150</v>
      </c>
      <c r="K5">
        <v>52</v>
      </c>
      <c r="L5">
        <v>4</v>
      </c>
      <c r="M5" t="s">
        <v>151</v>
      </c>
      <c r="N5">
        <v>4</v>
      </c>
      <c r="O5" t="s">
        <v>152</v>
      </c>
    </row>
    <row r="6" spans="1:15" ht="30" x14ac:dyDescent="0.25">
      <c r="A6" s="28" t="s">
        <v>153</v>
      </c>
      <c r="B6" s="43" t="s">
        <v>154</v>
      </c>
      <c r="C6" s="37" t="s">
        <v>155</v>
      </c>
      <c r="D6" s="26"/>
      <c r="E6" s="24" t="s">
        <v>156</v>
      </c>
      <c r="F6" s="24" t="s">
        <v>156</v>
      </c>
      <c r="G6" s="26" t="s">
        <v>157</v>
      </c>
      <c r="H6" s="37" t="s">
        <v>158</v>
      </c>
      <c r="I6" s="34" t="s">
        <v>159</v>
      </c>
      <c r="L6" s="22">
        <v>5</v>
      </c>
      <c r="M6" s="22" t="s">
        <v>160</v>
      </c>
    </row>
    <row r="7" spans="1:15" customFormat="1" x14ac:dyDescent="0.25">
      <c r="A7" s="46" t="s">
        <v>161</v>
      </c>
      <c r="B7" s="43" t="s">
        <v>162</v>
      </c>
      <c r="C7" s="43" t="s">
        <v>163</v>
      </c>
      <c r="D7" s="44"/>
      <c r="E7" s="44" t="s">
        <v>135</v>
      </c>
      <c r="F7" s="44" t="s">
        <v>135</v>
      </c>
      <c r="G7" s="44" t="s">
        <v>164</v>
      </c>
      <c r="H7" s="43" t="s">
        <v>159</v>
      </c>
      <c r="I7" s="43"/>
      <c r="L7">
        <v>6</v>
      </c>
      <c r="M7" t="s">
        <v>165</v>
      </c>
    </row>
    <row r="8" spans="1:15" customFormat="1" x14ac:dyDescent="0.25">
      <c r="A8" s="46" t="s">
        <v>166</v>
      </c>
      <c r="B8" s="43" t="s">
        <v>167</v>
      </c>
      <c r="C8" s="47" t="s">
        <v>159</v>
      </c>
      <c r="D8" s="44"/>
      <c r="E8" s="44" t="s">
        <v>168</v>
      </c>
      <c r="F8" s="44" t="s">
        <v>168</v>
      </c>
      <c r="G8" s="44" t="s">
        <v>159</v>
      </c>
      <c r="H8" s="29"/>
      <c r="I8" s="43"/>
    </row>
    <row r="9" spans="1:15" ht="30" x14ac:dyDescent="0.25">
      <c r="A9" s="37" t="s">
        <v>98</v>
      </c>
      <c r="B9" s="45" t="s">
        <v>169</v>
      </c>
      <c r="C9" s="37"/>
      <c r="D9" s="37"/>
      <c r="E9" s="24" t="s">
        <v>170</v>
      </c>
      <c r="F9" s="24" t="s">
        <v>170</v>
      </c>
      <c r="G9" s="26"/>
      <c r="H9" s="24"/>
      <c r="I9" s="37"/>
    </row>
    <row r="10" spans="1:15" x14ac:dyDescent="0.25">
      <c r="A10" s="23" t="s">
        <v>100</v>
      </c>
      <c r="B10" s="45" t="s">
        <v>171</v>
      </c>
      <c r="C10" s="37"/>
      <c r="D10" s="37"/>
      <c r="E10" s="30" t="s">
        <v>172</v>
      </c>
      <c r="F10" s="30" t="s">
        <v>172</v>
      </c>
      <c r="G10" s="26"/>
      <c r="H10" s="24"/>
      <c r="I10" s="38"/>
    </row>
    <row r="11" spans="1:15" customFormat="1" x14ac:dyDescent="0.25">
      <c r="A11" s="46" t="s">
        <v>173</v>
      </c>
      <c r="B11" s="45" t="s">
        <v>174</v>
      </c>
      <c r="C11" s="43"/>
      <c r="D11" s="43"/>
      <c r="E11" s="47" t="s">
        <v>159</v>
      </c>
      <c r="F11" s="47" t="s">
        <v>159</v>
      </c>
      <c r="G11" s="44"/>
      <c r="H11" s="41"/>
      <c r="I11" s="41"/>
    </row>
    <row r="12" spans="1:15" customFormat="1" x14ac:dyDescent="0.25">
      <c r="A12" s="40" t="s">
        <v>175</v>
      </c>
      <c r="B12" s="45" t="s">
        <v>176</v>
      </c>
      <c r="C12" s="43"/>
      <c r="D12" s="43"/>
      <c r="E12" s="44"/>
      <c r="F12" s="41"/>
      <c r="G12" s="43"/>
      <c r="H12" s="41"/>
      <c r="I12" s="41"/>
    </row>
    <row r="13" spans="1:15" customFormat="1" x14ac:dyDescent="0.25">
      <c r="A13" s="40" t="s">
        <v>177</v>
      </c>
      <c r="B13" s="44" t="s">
        <v>178</v>
      </c>
      <c r="C13" s="43"/>
      <c r="D13" s="43"/>
      <c r="E13" s="44"/>
      <c r="F13" s="41"/>
      <c r="G13" s="43"/>
      <c r="H13" s="41"/>
      <c r="I13" s="41"/>
    </row>
    <row r="14" spans="1:15" customFormat="1" x14ac:dyDescent="0.25">
      <c r="A14" s="40" t="s">
        <v>179</v>
      </c>
      <c r="B14" s="26" t="s">
        <v>180</v>
      </c>
      <c r="C14" s="43"/>
      <c r="D14" s="43"/>
      <c r="E14" s="44"/>
      <c r="F14" s="41"/>
      <c r="G14" s="43"/>
      <c r="H14" s="41"/>
      <c r="I14" s="41"/>
    </row>
    <row r="15" spans="1:15" x14ac:dyDescent="0.25">
      <c r="A15" s="23" t="s">
        <v>181</v>
      </c>
      <c r="B15" s="44" t="s">
        <v>182</v>
      </c>
      <c r="C15" s="37"/>
      <c r="D15" s="37"/>
      <c r="E15" s="26"/>
      <c r="F15" s="24"/>
      <c r="G15" s="37"/>
      <c r="H15" s="24"/>
      <c r="I15" s="24"/>
    </row>
    <row r="16" spans="1:15" x14ac:dyDescent="0.25">
      <c r="A16" s="23" t="s">
        <v>183</v>
      </c>
      <c r="B16" s="44" t="s">
        <v>184</v>
      </c>
      <c r="C16" s="37"/>
      <c r="D16" s="37"/>
      <c r="E16" s="26"/>
      <c r="F16" s="24"/>
      <c r="G16" s="37"/>
      <c r="H16" s="24"/>
      <c r="I16" s="24"/>
    </row>
    <row r="17" spans="1:21" x14ac:dyDescent="0.25">
      <c r="A17" s="23" t="s">
        <v>185</v>
      </c>
      <c r="B17" s="26" t="s">
        <v>186</v>
      </c>
      <c r="C17" s="37"/>
      <c r="D17" s="37"/>
      <c r="E17" s="26"/>
      <c r="F17" s="24"/>
      <c r="G17" s="37"/>
      <c r="H17" s="24"/>
      <c r="I17" s="24"/>
    </row>
    <row r="18" spans="1:21" x14ac:dyDescent="0.25">
      <c r="A18" s="23" t="s">
        <v>187</v>
      </c>
      <c r="B18" s="26" t="s">
        <v>188</v>
      </c>
      <c r="C18" s="37"/>
      <c r="D18" s="37"/>
      <c r="E18" s="26"/>
      <c r="F18" s="24"/>
      <c r="G18" s="37"/>
      <c r="H18" s="24"/>
      <c r="I18" s="24"/>
    </row>
    <row r="19" spans="1:21" x14ac:dyDescent="0.25">
      <c r="A19" s="23" t="s">
        <v>189</v>
      </c>
      <c r="B19" s="44" t="s">
        <v>190</v>
      </c>
      <c r="C19" s="37"/>
      <c r="D19" s="37"/>
      <c r="E19" s="26"/>
      <c r="F19" s="24"/>
      <c r="G19" s="37"/>
      <c r="H19" s="24"/>
      <c r="I19" s="24"/>
    </row>
    <row r="20" spans="1:21" x14ac:dyDescent="0.25">
      <c r="A20" s="23" t="s">
        <v>191</v>
      </c>
      <c r="B20" s="45" t="s">
        <v>192</v>
      </c>
      <c r="C20" s="37"/>
      <c r="D20" s="37"/>
      <c r="E20" s="26"/>
      <c r="F20" s="24"/>
      <c r="G20" s="37"/>
      <c r="H20" s="24"/>
      <c r="I20" s="24"/>
    </row>
    <row r="21" spans="1:21" x14ac:dyDescent="0.25">
      <c r="A21" s="23" t="s">
        <v>193</v>
      </c>
      <c r="B21" s="44" t="s">
        <v>194</v>
      </c>
      <c r="C21" s="37"/>
      <c r="D21" s="37"/>
      <c r="E21" s="26"/>
      <c r="F21" s="24"/>
      <c r="G21" s="37"/>
      <c r="H21" s="24"/>
      <c r="I21" s="24"/>
    </row>
    <row r="22" spans="1:21" x14ac:dyDescent="0.25">
      <c r="A22" s="23" t="s">
        <v>195</v>
      </c>
      <c r="B22" s="27" t="s">
        <v>196</v>
      </c>
      <c r="C22" s="37"/>
      <c r="D22" s="37"/>
      <c r="E22" s="26"/>
      <c r="F22" s="24"/>
      <c r="G22" s="37"/>
      <c r="H22" s="24"/>
      <c r="I22" s="24"/>
    </row>
    <row r="23" spans="1:21" x14ac:dyDescent="0.25">
      <c r="A23" s="23" t="s">
        <v>197</v>
      </c>
      <c r="B23" s="26" t="s">
        <v>159</v>
      </c>
      <c r="C23" s="37"/>
      <c r="D23" s="37"/>
      <c r="E23" s="26"/>
      <c r="F23" s="24"/>
      <c r="G23" s="37"/>
      <c r="H23" s="24"/>
      <c r="I23" s="24"/>
    </row>
    <row r="24" spans="1:21" x14ac:dyDescent="0.25">
      <c r="A24" s="23" t="s">
        <v>198</v>
      </c>
      <c r="B24" s="26"/>
      <c r="C24" s="37"/>
      <c r="D24" s="37"/>
      <c r="E24" s="26"/>
      <c r="F24" s="24"/>
      <c r="G24" s="37"/>
      <c r="H24" s="24"/>
      <c r="I24" s="24"/>
    </row>
    <row r="25" spans="1:21" x14ac:dyDescent="0.25">
      <c r="A25" s="23" t="s">
        <v>199</v>
      </c>
      <c r="B25" s="26"/>
      <c r="C25" s="37"/>
      <c r="D25" s="37"/>
      <c r="E25" s="37"/>
      <c r="F25" s="37"/>
      <c r="G25" s="37"/>
      <c r="H25" s="24"/>
      <c r="I25" s="24"/>
    </row>
    <row r="26" spans="1:21" ht="30" x14ac:dyDescent="0.25">
      <c r="A26" s="23" t="s">
        <v>200</v>
      </c>
      <c r="B26" s="26"/>
      <c r="C26" s="37"/>
      <c r="D26" s="37"/>
      <c r="E26" s="37"/>
      <c r="F26" s="37"/>
      <c r="G26" s="37"/>
      <c r="H26" s="24"/>
      <c r="I26" s="24"/>
    </row>
    <row r="27" spans="1:21" x14ac:dyDescent="0.25">
      <c r="A27" s="25" t="s">
        <v>201</v>
      </c>
      <c r="B27" s="26"/>
      <c r="C27" s="37"/>
      <c r="D27" s="37"/>
      <c r="E27" s="37"/>
      <c r="F27" s="37"/>
      <c r="G27" s="37"/>
      <c r="H27" s="24"/>
      <c r="I27" s="24"/>
    </row>
    <row r="28" spans="1:21" x14ac:dyDescent="0.25">
      <c r="A28" s="25" t="s">
        <v>202</v>
      </c>
      <c r="B28" s="26"/>
      <c r="C28" s="37"/>
      <c r="D28" s="37"/>
      <c r="E28" s="26"/>
      <c r="F28" s="24"/>
      <c r="G28" s="37"/>
      <c r="H28" s="24"/>
      <c r="I28" s="24"/>
    </row>
    <row r="29" spans="1:21" ht="30" x14ac:dyDescent="0.25">
      <c r="A29" s="23" t="s">
        <v>203</v>
      </c>
      <c r="B29" s="26"/>
      <c r="C29" s="37"/>
      <c r="D29" s="37"/>
      <c r="E29" s="26"/>
      <c r="F29" s="24"/>
      <c r="G29" s="37"/>
      <c r="H29" s="24"/>
      <c r="I29" s="24"/>
      <c r="J29" s="39"/>
      <c r="K29" s="39"/>
      <c r="L29" s="39"/>
      <c r="M29" s="39"/>
      <c r="N29" s="39"/>
      <c r="O29" s="39"/>
      <c r="P29" s="39"/>
      <c r="Q29" s="39"/>
      <c r="R29" s="39"/>
      <c r="S29" s="39"/>
      <c r="T29" s="39"/>
      <c r="U29" s="39"/>
    </row>
    <row r="30" spans="1:21" ht="30" x14ac:dyDescent="0.25">
      <c r="A30" s="23" t="s">
        <v>4027</v>
      </c>
      <c r="B30" s="26"/>
      <c r="C30" s="37"/>
      <c r="D30" s="37"/>
      <c r="E30" s="26"/>
      <c r="F30" s="24"/>
      <c r="G30" s="37"/>
      <c r="H30" s="24"/>
      <c r="I30" s="24"/>
      <c r="J30" s="31"/>
      <c r="K30" s="31"/>
      <c r="L30" s="31"/>
      <c r="M30" s="31"/>
      <c r="N30" s="32"/>
      <c r="O30" s="31"/>
      <c r="P30" s="31"/>
      <c r="Q30" s="31"/>
      <c r="R30" s="31"/>
      <c r="S30" s="33"/>
      <c r="T30" s="31"/>
      <c r="U30" s="31"/>
    </row>
    <row r="31" spans="1:21" ht="30" x14ac:dyDescent="0.25">
      <c r="A31" s="23" t="s">
        <v>204</v>
      </c>
      <c r="B31" s="26"/>
      <c r="C31" s="37"/>
      <c r="D31" s="37"/>
      <c r="E31" s="26"/>
      <c r="F31" s="24"/>
      <c r="G31" s="37"/>
      <c r="H31" s="24"/>
      <c r="I31" s="24"/>
      <c r="J31" s="31"/>
      <c r="K31" s="31"/>
      <c r="L31" s="31"/>
      <c r="M31" s="31"/>
      <c r="N31" s="32"/>
      <c r="O31" s="31"/>
      <c r="P31" s="31"/>
      <c r="Q31" s="31"/>
      <c r="R31" s="31"/>
      <c r="S31" s="33"/>
      <c r="T31" s="31"/>
      <c r="U31" s="31"/>
    </row>
    <row r="32" spans="1:21" ht="30" x14ac:dyDescent="0.25">
      <c r="A32" s="34" t="s">
        <v>205</v>
      </c>
      <c r="B32" s="26"/>
      <c r="C32" s="37"/>
      <c r="D32" s="37"/>
      <c r="E32" s="35"/>
      <c r="F32" s="31"/>
      <c r="G32" s="37"/>
      <c r="H32" s="24"/>
      <c r="I32" s="24"/>
      <c r="J32" s="31"/>
      <c r="K32" s="31"/>
      <c r="L32" s="31"/>
      <c r="M32" s="31"/>
      <c r="N32" s="32"/>
      <c r="O32" s="31"/>
      <c r="P32" s="31"/>
      <c r="Q32" s="31"/>
      <c r="R32" s="31"/>
      <c r="S32" s="33"/>
      <c r="T32" s="31"/>
      <c r="U32" s="31"/>
    </row>
    <row r="33" spans="1:21" x14ac:dyDescent="0.25">
      <c r="A33" s="34" t="s">
        <v>159</v>
      </c>
      <c r="B33" s="26"/>
      <c r="C33" s="37"/>
      <c r="D33" s="37"/>
      <c r="E33" s="35"/>
      <c r="F33" s="31"/>
      <c r="G33" s="37"/>
      <c r="I33" s="24"/>
      <c r="J33" s="31"/>
      <c r="K33" s="31"/>
      <c r="L33" s="31"/>
      <c r="M33" s="31"/>
      <c r="N33" s="32"/>
      <c r="O33" s="31"/>
      <c r="P33" s="31"/>
      <c r="Q33" s="31"/>
      <c r="R33" s="31"/>
      <c r="S33" s="33"/>
      <c r="T33" s="31"/>
      <c r="U33" s="31"/>
    </row>
    <row r="34" spans="1:21" x14ac:dyDescent="0.25">
      <c r="A34" s="23"/>
      <c r="B34" s="26"/>
      <c r="C34" s="37"/>
      <c r="E34" s="35"/>
      <c r="F34" s="31"/>
      <c r="G34" s="37"/>
      <c r="I34" s="24"/>
      <c r="J34" s="31"/>
      <c r="K34" s="31"/>
      <c r="L34" s="32"/>
      <c r="M34" s="31"/>
      <c r="N34" s="31"/>
      <c r="O34" s="31"/>
      <c r="P34" s="31"/>
      <c r="Q34" s="33"/>
      <c r="R34" s="31"/>
      <c r="S34" s="31"/>
    </row>
    <row r="35" spans="1:21" x14ac:dyDescent="0.25">
      <c r="A35" s="23"/>
      <c r="B35" s="26"/>
      <c r="E35" s="35"/>
      <c r="F35" s="31"/>
      <c r="J35" s="31"/>
      <c r="K35" s="31"/>
      <c r="L35" s="32"/>
      <c r="M35" s="31"/>
      <c r="N35" s="31"/>
      <c r="O35" s="31"/>
      <c r="P35" s="31"/>
      <c r="Q35" s="33"/>
      <c r="R35" s="31"/>
      <c r="S35" s="31"/>
    </row>
    <row r="36" spans="1:21" x14ac:dyDescent="0.25">
      <c r="B36" s="26"/>
      <c r="E36" s="35"/>
      <c r="F36" s="31"/>
      <c r="J36" s="31"/>
      <c r="K36" s="31"/>
      <c r="L36" s="32"/>
      <c r="M36" s="31"/>
      <c r="N36" s="31"/>
      <c r="O36" s="31"/>
      <c r="P36" s="31"/>
      <c r="Q36" s="33"/>
      <c r="R36" s="31"/>
      <c r="S36" s="31"/>
    </row>
    <row r="37" spans="1:21" x14ac:dyDescent="0.25">
      <c r="B37" s="26"/>
      <c r="E37" s="35"/>
      <c r="F37" s="31"/>
      <c r="J37" s="31"/>
      <c r="K37" s="31"/>
      <c r="L37" s="32"/>
      <c r="M37" s="31"/>
      <c r="N37" s="31"/>
      <c r="O37" s="31"/>
      <c r="P37" s="31"/>
      <c r="Q37" s="33"/>
      <c r="R37" s="31"/>
      <c r="S37" s="31"/>
    </row>
    <row r="38" spans="1:21" x14ac:dyDescent="0.25">
      <c r="B38" s="37"/>
      <c r="E38" s="35"/>
      <c r="F38" s="31"/>
      <c r="J38" s="31"/>
      <c r="K38" s="31"/>
      <c r="L38" s="32"/>
      <c r="M38" s="31"/>
      <c r="N38" s="31"/>
      <c r="O38" s="31"/>
      <c r="P38" s="31"/>
      <c r="Q38" s="33"/>
      <c r="R38" s="31"/>
      <c r="S38" s="31"/>
    </row>
    <row r="39" spans="1:21" x14ac:dyDescent="0.25">
      <c r="B39" s="26"/>
      <c r="E39" s="35"/>
      <c r="F39" s="31"/>
      <c r="J39" s="31"/>
      <c r="K39" s="31"/>
      <c r="L39" s="32"/>
      <c r="M39" s="31"/>
      <c r="N39" s="31"/>
      <c r="O39" s="31"/>
      <c r="P39" s="31"/>
      <c r="Q39" s="33"/>
      <c r="R39" s="31"/>
      <c r="S39" s="31"/>
    </row>
    <row r="40" spans="1:21" x14ac:dyDescent="0.25">
      <c r="A40" s="37"/>
      <c r="B40" s="26"/>
      <c r="E40" s="35"/>
      <c r="F40" s="31"/>
      <c r="J40" s="31"/>
      <c r="K40" s="31"/>
      <c r="L40" s="32"/>
      <c r="M40" s="31"/>
      <c r="N40" s="31"/>
      <c r="O40" s="31"/>
      <c r="P40" s="31"/>
      <c r="Q40" s="33"/>
      <c r="R40" s="31"/>
      <c r="S40" s="31"/>
    </row>
    <row r="41" spans="1:21" x14ac:dyDescent="0.25">
      <c r="A41" s="37"/>
      <c r="B41" s="26"/>
      <c r="E41" s="35"/>
      <c r="F41" s="31"/>
    </row>
    <row r="42" spans="1:21" x14ac:dyDescent="0.25">
      <c r="A42" s="37"/>
      <c r="B42" s="35"/>
      <c r="E42" s="35"/>
      <c r="F42" s="31"/>
    </row>
    <row r="43" spans="1:21" x14ac:dyDescent="0.25">
      <c r="A43" s="37"/>
      <c r="B43" s="35"/>
      <c r="E43" s="35"/>
      <c r="F43" s="31"/>
    </row>
    <row r="44" spans="1:21" x14ac:dyDescent="0.25">
      <c r="B44" s="35"/>
    </row>
    <row r="45" spans="1:21" x14ac:dyDescent="0.25">
      <c r="B45" s="35"/>
    </row>
    <row r="46" spans="1:21" x14ac:dyDescent="0.25">
      <c r="B46" s="35"/>
    </row>
    <row r="47" spans="1:21" x14ac:dyDescent="0.25">
      <c r="B47" s="35"/>
    </row>
    <row r="48" spans="1:21" x14ac:dyDescent="0.25">
      <c r="B48" s="35"/>
    </row>
    <row r="49" spans="2:2" x14ac:dyDescent="0.25">
      <c r="B49" s="35"/>
    </row>
    <row r="50" spans="2:2" x14ac:dyDescent="0.25">
      <c r="B50" s="35"/>
    </row>
  </sheetData>
  <sheetProtection algorithmName="SHA-512" hashValue="OwNDPdXHpKdnYTQngFBTTpR2xycUTrQEwUCzZJWpJ2I5g/MtDqt8wGNk/UwFlnoYC4OgqD11Z21J+xoswOMkjg==" saltValue="8ftegboalX/B2iFveedexw==" spinCount="100000" sheet="1" objects="1" scenario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2291-9F16-4E99-9676-867A20949957}">
  <dimension ref="A1:D2230"/>
  <sheetViews>
    <sheetView topLeftCell="A22" workbookViewId="0">
      <selection activeCell="C337" sqref="C337"/>
    </sheetView>
  </sheetViews>
  <sheetFormatPr defaultRowHeight="15" x14ac:dyDescent="0.25"/>
  <cols>
    <col min="1" max="1" width="47.42578125" bestFit="1" customWidth="1"/>
    <col min="2" max="2" width="60.140625" bestFit="1" customWidth="1"/>
    <col min="3" max="3" width="9.28515625" bestFit="1" customWidth="1"/>
    <col min="4" max="4" width="19.85546875" bestFit="1" customWidth="1"/>
  </cols>
  <sheetData>
    <row r="1" spans="1:4" x14ac:dyDescent="0.25">
      <c r="A1" t="s">
        <v>206</v>
      </c>
      <c r="B1" t="s">
        <v>207</v>
      </c>
      <c r="C1" t="s">
        <v>51</v>
      </c>
      <c r="D1" t="s">
        <v>208</v>
      </c>
    </row>
    <row r="2" spans="1:4" x14ac:dyDescent="0.25">
      <c r="A2" t="s">
        <v>209</v>
      </c>
      <c r="B2" t="s">
        <v>210</v>
      </c>
      <c r="C2">
        <v>33930</v>
      </c>
      <c r="D2" t="s">
        <v>211</v>
      </c>
    </row>
    <row r="3" spans="1:4" x14ac:dyDescent="0.25">
      <c r="A3" t="s">
        <v>212</v>
      </c>
      <c r="B3" t="s">
        <v>213</v>
      </c>
      <c r="C3">
        <v>24559</v>
      </c>
    </row>
    <row r="4" spans="1:4" x14ac:dyDescent="0.25">
      <c r="A4" t="s">
        <v>214</v>
      </c>
      <c r="B4" t="s">
        <v>215</v>
      </c>
      <c r="C4">
        <v>24260</v>
      </c>
    </row>
    <row r="5" spans="1:4" x14ac:dyDescent="0.25">
      <c r="A5" t="s">
        <v>216</v>
      </c>
      <c r="B5" t="s">
        <v>215</v>
      </c>
      <c r="C5">
        <v>47353</v>
      </c>
    </row>
    <row r="6" spans="1:4" x14ac:dyDescent="0.25">
      <c r="A6" t="s">
        <v>217</v>
      </c>
      <c r="B6" t="s">
        <v>218</v>
      </c>
      <c r="C6">
        <v>24261</v>
      </c>
    </row>
    <row r="7" spans="1:4" x14ac:dyDescent="0.25">
      <c r="A7" t="s">
        <v>219</v>
      </c>
      <c r="B7" t="s">
        <v>218</v>
      </c>
      <c r="C7">
        <v>47373</v>
      </c>
    </row>
    <row r="8" spans="1:4" x14ac:dyDescent="0.25">
      <c r="A8" t="s">
        <v>220</v>
      </c>
      <c r="B8" t="s">
        <v>221</v>
      </c>
      <c r="C8">
        <v>24262</v>
      </c>
    </row>
    <row r="9" spans="1:4" x14ac:dyDescent="0.25">
      <c r="A9" t="s">
        <v>222</v>
      </c>
      <c r="B9" t="s">
        <v>223</v>
      </c>
      <c r="C9">
        <v>25527</v>
      </c>
    </row>
    <row r="10" spans="1:4" x14ac:dyDescent="0.25">
      <c r="A10" t="s">
        <v>224</v>
      </c>
      <c r="B10" t="s">
        <v>223</v>
      </c>
      <c r="C10">
        <v>24263</v>
      </c>
    </row>
    <row r="11" spans="1:4" x14ac:dyDescent="0.25">
      <c r="A11" t="s">
        <v>225</v>
      </c>
      <c r="B11" t="s">
        <v>226</v>
      </c>
      <c r="C11">
        <v>24264</v>
      </c>
    </row>
    <row r="12" spans="1:4" x14ac:dyDescent="0.25">
      <c r="A12" t="s">
        <v>227</v>
      </c>
      <c r="B12" t="s">
        <v>228</v>
      </c>
      <c r="C12">
        <v>24265</v>
      </c>
    </row>
    <row r="13" spans="1:4" x14ac:dyDescent="0.25">
      <c r="A13" t="s">
        <v>229</v>
      </c>
      <c r="B13" t="s">
        <v>230</v>
      </c>
      <c r="C13">
        <v>25242</v>
      </c>
      <c r="D13" t="s">
        <v>231</v>
      </c>
    </row>
    <row r="14" spans="1:4" x14ac:dyDescent="0.25">
      <c r="A14" t="s">
        <v>232</v>
      </c>
      <c r="B14" t="s">
        <v>233</v>
      </c>
      <c r="C14">
        <v>25330</v>
      </c>
    </row>
    <row r="15" spans="1:4" x14ac:dyDescent="0.25">
      <c r="A15" t="s">
        <v>234</v>
      </c>
      <c r="B15" t="s">
        <v>235</v>
      </c>
      <c r="C15">
        <v>25243</v>
      </c>
    </row>
    <row r="16" spans="1:4" x14ac:dyDescent="0.25">
      <c r="A16" t="s">
        <v>236</v>
      </c>
      <c r="B16" t="s">
        <v>237</v>
      </c>
      <c r="C16">
        <v>25332</v>
      </c>
    </row>
    <row r="17" spans="1:4" x14ac:dyDescent="0.25">
      <c r="A17" t="s">
        <v>238</v>
      </c>
      <c r="B17" t="s">
        <v>239</v>
      </c>
      <c r="C17">
        <v>24560</v>
      </c>
    </row>
    <row r="18" spans="1:4" x14ac:dyDescent="0.25">
      <c r="A18" t="s">
        <v>240</v>
      </c>
      <c r="B18" t="s">
        <v>241</v>
      </c>
      <c r="C18">
        <v>25535</v>
      </c>
    </row>
    <row r="19" spans="1:4" x14ac:dyDescent="0.25">
      <c r="A19" t="s">
        <v>242</v>
      </c>
      <c r="B19" t="s">
        <v>241</v>
      </c>
      <c r="C19">
        <v>24281</v>
      </c>
    </row>
    <row r="20" spans="1:4" x14ac:dyDescent="0.25">
      <c r="A20" t="s">
        <v>243</v>
      </c>
      <c r="B20" t="s">
        <v>244</v>
      </c>
      <c r="C20">
        <v>25536</v>
      </c>
    </row>
    <row r="21" spans="1:4" x14ac:dyDescent="0.25">
      <c r="A21" t="s">
        <v>245</v>
      </c>
      <c r="B21" t="s">
        <v>244</v>
      </c>
      <c r="C21">
        <v>24283</v>
      </c>
    </row>
    <row r="22" spans="1:4" x14ac:dyDescent="0.25">
      <c r="A22" t="s">
        <v>246</v>
      </c>
      <c r="B22" t="s">
        <v>244</v>
      </c>
      <c r="C22">
        <v>24282</v>
      </c>
    </row>
    <row r="23" spans="1:4" x14ac:dyDescent="0.25">
      <c r="A23" t="s">
        <v>247</v>
      </c>
      <c r="B23" t="s">
        <v>248</v>
      </c>
      <c r="C23">
        <v>25537</v>
      </c>
    </row>
    <row r="24" spans="1:4" x14ac:dyDescent="0.25">
      <c r="A24" t="s">
        <v>249</v>
      </c>
      <c r="B24" t="s">
        <v>248</v>
      </c>
      <c r="C24">
        <v>24284</v>
      </c>
    </row>
    <row r="25" spans="1:4" x14ac:dyDescent="0.25">
      <c r="A25" t="s">
        <v>250</v>
      </c>
      <c r="B25" t="s">
        <v>251</v>
      </c>
      <c r="C25">
        <v>33901</v>
      </c>
      <c r="D25" t="s">
        <v>252</v>
      </c>
    </row>
    <row r="26" spans="1:4" x14ac:dyDescent="0.25">
      <c r="A26" t="s">
        <v>253</v>
      </c>
      <c r="B26" t="s">
        <v>254</v>
      </c>
      <c r="C26">
        <v>44615</v>
      </c>
      <c r="D26" t="s">
        <v>211</v>
      </c>
    </row>
    <row r="27" spans="1:4" x14ac:dyDescent="0.25">
      <c r="A27" t="s">
        <v>255</v>
      </c>
      <c r="B27" t="s">
        <v>256</v>
      </c>
      <c r="C27">
        <v>41374</v>
      </c>
      <c r="D27" t="s">
        <v>211</v>
      </c>
    </row>
    <row r="28" spans="1:4" x14ac:dyDescent="0.25">
      <c r="A28" t="s">
        <v>257</v>
      </c>
      <c r="B28" t="s">
        <v>258</v>
      </c>
      <c r="C28">
        <v>25751</v>
      </c>
    </row>
    <row r="29" spans="1:4" x14ac:dyDescent="0.25">
      <c r="A29" t="s">
        <v>259</v>
      </c>
      <c r="B29" t="s">
        <v>258</v>
      </c>
      <c r="C29">
        <v>24823</v>
      </c>
    </row>
    <row r="30" spans="1:4" x14ac:dyDescent="0.25">
      <c r="A30" t="s">
        <v>260</v>
      </c>
      <c r="B30" t="s">
        <v>261</v>
      </c>
      <c r="C30">
        <v>42368</v>
      </c>
    </row>
    <row r="31" spans="1:4" x14ac:dyDescent="0.25">
      <c r="A31" t="s">
        <v>262</v>
      </c>
      <c r="B31" t="s">
        <v>263</v>
      </c>
      <c r="C31">
        <v>25755</v>
      </c>
    </row>
    <row r="32" spans="1:4" x14ac:dyDescent="0.25">
      <c r="A32" t="s">
        <v>264</v>
      </c>
      <c r="B32" t="s">
        <v>263</v>
      </c>
      <c r="C32">
        <v>24831</v>
      </c>
    </row>
    <row r="33" spans="1:4" x14ac:dyDescent="0.25">
      <c r="A33" t="s">
        <v>265</v>
      </c>
      <c r="B33" t="s">
        <v>266</v>
      </c>
      <c r="C33">
        <v>24832</v>
      </c>
      <c r="D33" t="s">
        <v>267</v>
      </c>
    </row>
    <row r="34" spans="1:4" x14ac:dyDescent="0.25">
      <c r="A34" t="s">
        <v>268</v>
      </c>
      <c r="B34" t="s">
        <v>269</v>
      </c>
      <c r="C34">
        <v>25323</v>
      </c>
    </row>
    <row r="35" spans="1:4" x14ac:dyDescent="0.25">
      <c r="A35" t="s">
        <v>270</v>
      </c>
      <c r="B35" t="s">
        <v>271</v>
      </c>
      <c r="C35">
        <v>41323</v>
      </c>
      <c r="D35" t="s">
        <v>267</v>
      </c>
    </row>
    <row r="36" spans="1:4" x14ac:dyDescent="0.25">
      <c r="A36" t="s">
        <v>272</v>
      </c>
      <c r="B36" t="s">
        <v>273</v>
      </c>
      <c r="C36">
        <v>25544</v>
      </c>
    </row>
    <row r="37" spans="1:4" x14ac:dyDescent="0.25">
      <c r="A37" t="s">
        <v>274</v>
      </c>
      <c r="B37" t="s">
        <v>273</v>
      </c>
      <c r="C37">
        <v>24301</v>
      </c>
    </row>
    <row r="38" spans="1:4" x14ac:dyDescent="0.25">
      <c r="A38" t="s">
        <v>275</v>
      </c>
      <c r="B38" t="s">
        <v>273</v>
      </c>
      <c r="C38">
        <v>24300</v>
      </c>
    </row>
    <row r="39" spans="1:4" x14ac:dyDescent="0.25">
      <c r="A39" t="s">
        <v>276</v>
      </c>
      <c r="B39" t="s">
        <v>277</v>
      </c>
      <c r="C39">
        <v>33902</v>
      </c>
      <c r="D39" t="s">
        <v>278</v>
      </c>
    </row>
    <row r="40" spans="1:4" x14ac:dyDescent="0.25">
      <c r="A40" t="s">
        <v>279</v>
      </c>
      <c r="B40" t="s">
        <v>280</v>
      </c>
      <c r="C40">
        <v>25350</v>
      </c>
      <c r="D40" t="s">
        <v>281</v>
      </c>
    </row>
    <row r="41" spans="1:4" x14ac:dyDescent="0.25">
      <c r="A41" t="s">
        <v>282</v>
      </c>
      <c r="B41" t="s">
        <v>283</v>
      </c>
      <c r="C41">
        <v>25351</v>
      </c>
    </row>
    <row r="42" spans="1:4" x14ac:dyDescent="0.25">
      <c r="A42" t="s">
        <v>284</v>
      </c>
      <c r="B42" t="s">
        <v>285</v>
      </c>
      <c r="C42">
        <v>25352</v>
      </c>
    </row>
    <row r="43" spans="1:4" x14ac:dyDescent="0.25">
      <c r="A43" t="s">
        <v>286</v>
      </c>
      <c r="B43" t="s">
        <v>287</v>
      </c>
      <c r="C43">
        <v>25353</v>
      </c>
      <c r="D43" t="s">
        <v>281</v>
      </c>
    </row>
    <row r="44" spans="1:4" x14ac:dyDescent="0.25">
      <c r="A44" t="s">
        <v>288</v>
      </c>
      <c r="B44" t="s">
        <v>289</v>
      </c>
      <c r="C44">
        <v>25354</v>
      </c>
    </row>
    <row r="45" spans="1:4" x14ac:dyDescent="0.25">
      <c r="A45" t="s">
        <v>290</v>
      </c>
      <c r="B45" t="s">
        <v>291</v>
      </c>
      <c r="C45">
        <v>25355</v>
      </c>
    </row>
    <row r="46" spans="1:4" x14ac:dyDescent="0.25">
      <c r="A46" t="s">
        <v>292</v>
      </c>
      <c r="B46" t="s">
        <v>293</v>
      </c>
      <c r="C46">
        <v>42369</v>
      </c>
    </row>
    <row r="47" spans="1:4" x14ac:dyDescent="0.25">
      <c r="A47" t="s">
        <v>294</v>
      </c>
      <c r="B47" t="s">
        <v>295</v>
      </c>
      <c r="C47">
        <v>25356</v>
      </c>
    </row>
    <row r="48" spans="1:4" x14ac:dyDescent="0.25">
      <c r="A48" t="s">
        <v>296</v>
      </c>
      <c r="B48" t="s">
        <v>297</v>
      </c>
      <c r="C48">
        <v>25357</v>
      </c>
    </row>
    <row r="49" spans="1:4" x14ac:dyDescent="0.25">
      <c r="A49" t="s">
        <v>298</v>
      </c>
      <c r="B49" t="s">
        <v>299</v>
      </c>
      <c r="C49">
        <v>42371</v>
      </c>
    </row>
    <row r="50" spans="1:4" x14ac:dyDescent="0.25">
      <c r="A50" t="s">
        <v>300</v>
      </c>
      <c r="B50" t="s">
        <v>301</v>
      </c>
      <c r="C50">
        <v>42372</v>
      </c>
    </row>
    <row r="51" spans="1:4" x14ac:dyDescent="0.25">
      <c r="A51" t="s">
        <v>302</v>
      </c>
      <c r="B51" t="s">
        <v>303</v>
      </c>
      <c r="C51">
        <v>47393</v>
      </c>
    </row>
    <row r="52" spans="1:4" x14ac:dyDescent="0.25">
      <c r="A52" t="s">
        <v>304</v>
      </c>
      <c r="B52" t="s">
        <v>305</v>
      </c>
      <c r="C52">
        <v>47413</v>
      </c>
    </row>
    <row r="53" spans="1:4" x14ac:dyDescent="0.25">
      <c r="A53" t="s">
        <v>306</v>
      </c>
      <c r="B53" t="s">
        <v>307</v>
      </c>
      <c r="C53">
        <v>30846</v>
      </c>
    </row>
    <row r="54" spans="1:4" x14ac:dyDescent="0.25">
      <c r="A54" t="s">
        <v>308</v>
      </c>
      <c r="B54" t="s">
        <v>307</v>
      </c>
      <c r="C54">
        <v>30847</v>
      </c>
    </row>
    <row r="55" spans="1:4" x14ac:dyDescent="0.25">
      <c r="A55" t="s">
        <v>309</v>
      </c>
      <c r="B55" t="s">
        <v>310</v>
      </c>
      <c r="C55">
        <v>30831</v>
      </c>
    </row>
    <row r="56" spans="1:4" x14ac:dyDescent="0.25">
      <c r="A56" t="s">
        <v>311</v>
      </c>
      <c r="B56" t="s">
        <v>312</v>
      </c>
      <c r="C56">
        <v>30833</v>
      </c>
    </row>
    <row r="57" spans="1:4" x14ac:dyDescent="0.25">
      <c r="A57" t="s">
        <v>313</v>
      </c>
      <c r="B57" t="s">
        <v>314</v>
      </c>
      <c r="C57">
        <v>24860</v>
      </c>
    </row>
    <row r="58" spans="1:4" x14ac:dyDescent="0.25">
      <c r="A58" t="s">
        <v>315</v>
      </c>
      <c r="B58" t="s">
        <v>316</v>
      </c>
      <c r="C58">
        <v>34060</v>
      </c>
      <c r="D58" t="s">
        <v>211</v>
      </c>
    </row>
    <row r="59" spans="1:4" x14ac:dyDescent="0.25">
      <c r="A59" t="s">
        <v>317</v>
      </c>
      <c r="B59" t="s">
        <v>318</v>
      </c>
      <c r="C59">
        <v>34061</v>
      </c>
      <c r="D59" t="s">
        <v>319</v>
      </c>
    </row>
    <row r="60" spans="1:4" x14ac:dyDescent="0.25">
      <c r="A60" t="s">
        <v>320</v>
      </c>
      <c r="B60" t="s">
        <v>321</v>
      </c>
      <c r="C60">
        <v>34062</v>
      </c>
      <c r="D60" t="s">
        <v>319</v>
      </c>
    </row>
    <row r="61" spans="1:4" x14ac:dyDescent="0.25">
      <c r="A61" t="s">
        <v>322</v>
      </c>
      <c r="B61" t="s">
        <v>323</v>
      </c>
      <c r="C61">
        <v>34063</v>
      </c>
      <c r="D61" t="s">
        <v>319</v>
      </c>
    </row>
    <row r="62" spans="1:4" x14ac:dyDescent="0.25">
      <c r="A62" t="s">
        <v>324</v>
      </c>
      <c r="B62" t="s">
        <v>325</v>
      </c>
      <c r="C62">
        <v>34064</v>
      </c>
      <c r="D62" t="s">
        <v>319</v>
      </c>
    </row>
    <row r="63" spans="1:4" x14ac:dyDescent="0.25">
      <c r="A63" t="s">
        <v>326</v>
      </c>
      <c r="B63" t="s">
        <v>327</v>
      </c>
      <c r="C63">
        <v>24537</v>
      </c>
      <c r="D63" t="s">
        <v>278</v>
      </c>
    </row>
    <row r="64" spans="1:4" x14ac:dyDescent="0.25">
      <c r="A64" t="s">
        <v>328</v>
      </c>
      <c r="B64" t="s">
        <v>329</v>
      </c>
      <c r="C64">
        <v>25646</v>
      </c>
    </row>
    <row r="65" spans="1:4" x14ac:dyDescent="0.25">
      <c r="A65" t="s">
        <v>330</v>
      </c>
      <c r="B65" t="s">
        <v>329</v>
      </c>
      <c r="C65">
        <v>24538</v>
      </c>
    </row>
    <row r="66" spans="1:4" x14ac:dyDescent="0.25">
      <c r="A66" t="s">
        <v>331</v>
      </c>
      <c r="B66" t="s">
        <v>332</v>
      </c>
      <c r="C66">
        <v>25647</v>
      </c>
    </row>
    <row r="67" spans="1:4" x14ac:dyDescent="0.25">
      <c r="A67" t="s">
        <v>333</v>
      </c>
      <c r="B67" t="s">
        <v>334</v>
      </c>
      <c r="C67">
        <v>24539</v>
      </c>
      <c r="D67" t="s">
        <v>278</v>
      </c>
    </row>
    <row r="68" spans="1:4" x14ac:dyDescent="0.25">
      <c r="A68" t="s">
        <v>335</v>
      </c>
      <c r="B68" t="s">
        <v>336</v>
      </c>
      <c r="C68">
        <v>24540</v>
      </c>
    </row>
    <row r="69" spans="1:4" x14ac:dyDescent="0.25">
      <c r="A69" t="s">
        <v>337</v>
      </c>
      <c r="B69" t="s">
        <v>338</v>
      </c>
      <c r="C69">
        <v>25648</v>
      </c>
      <c r="D69" t="s">
        <v>278</v>
      </c>
    </row>
    <row r="70" spans="1:4" x14ac:dyDescent="0.25">
      <c r="A70" t="s">
        <v>339</v>
      </c>
      <c r="B70" t="s">
        <v>340</v>
      </c>
      <c r="C70">
        <v>24541</v>
      </c>
      <c r="D70" t="s">
        <v>278</v>
      </c>
    </row>
    <row r="71" spans="1:4" x14ac:dyDescent="0.25">
      <c r="A71" t="s">
        <v>341</v>
      </c>
      <c r="B71" t="s">
        <v>342</v>
      </c>
      <c r="C71">
        <v>30881</v>
      </c>
    </row>
    <row r="72" spans="1:4" x14ac:dyDescent="0.25">
      <c r="A72" t="s">
        <v>343</v>
      </c>
      <c r="B72" t="s">
        <v>342</v>
      </c>
      <c r="C72">
        <v>30882</v>
      </c>
    </row>
    <row r="73" spans="1:4" x14ac:dyDescent="0.25">
      <c r="A73" t="s">
        <v>344</v>
      </c>
      <c r="B73" t="s">
        <v>345</v>
      </c>
      <c r="C73">
        <v>24310</v>
      </c>
    </row>
    <row r="74" spans="1:4" x14ac:dyDescent="0.25">
      <c r="A74" t="s">
        <v>346</v>
      </c>
      <c r="B74" t="s">
        <v>347</v>
      </c>
      <c r="C74">
        <v>24311</v>
      </c>
    </row>
    <row r="75" spans="1:4" x14ac:dyDescent="0.25">
      <c r="A75" t="s">
        <v>348</v>
      </c>
      <c r="B75" t="s">
        <v>349</v>
      </c>
      <c r="C75">
        <v>24312</v>
      </c>
    </row>
    <row r="76" spans="1:4" x14ac:dyDescent="0.25">
      <c r="A76" t="s">
        <v>350</v>
      </c>
      <c r="B76" t="s">
        <v>351</v>
      </c>
      <c r="C76">
        <v>43340</v>
      </c>
    </row>
    <row r="77" spans="1:4" x14ac:dyDescent="0.25">
      <c r="A77" t="s">
        <v>352</v>
      </c>
      <c r="B77" t="s">
        <v>353</v>
      </c>
      <c r="C77">
        <v>24313</v>
      </c>
    </row>
    <row r="78" spans="1:4" x14ac:dyDescent="0.25">
      <c r="A78" t="s">
        <v>354</v>
      </c>
      <c r="B78" t="s">
        <v>355</v>
      </c>
      <c r="C78">
        <v>24314</v>
      </c>
      <c r="D78" t="s">
        <v>267</v>
      </c>
    </row>
    <row r="79" spans="1:4" x14ac:dyDescent="0.25">
      <c r="A79" t="s">
        <v>356</v>
      </c>
      <c r="B79" t="s">
        <v>357</v>
      </c>
      <c r="C79">
        <v>24315</v>
      </c>
    </row>
    <row r="80" spans="1:4" x14ac:dyDescent="0.25">
      <c r="A80" t="s">
        <v>358</v>
      </c>
      <c r="B80" t="s">
        <v>357</v>
      </c>
      <c r="C80">
        <v>25550</v>
      </c>
    </row>
    <row r="81" spans="1:4" x14ac:dyDescent="0.25">
      <c r="A81" t="s">
        <v>359</v>
      </c>
      <c r="B81" t="s">
        <v>360</v>
      </c>
      <c r="C81">
        <v>24316</v>
      </c>
    </row>
    <row r="82" spans="1:4" x14ac:dyDescent="0.25">
      <c r="A82" t="s">
        <v>361</v>
      </c>
      <c r="B82" t="s">
        <v>362</v>
      </c>
      <c r="C82">
        <v>47414</v>
      </c>
    </row>
    <row r="83" spans="1:4" x14ac:dyDescent="0.25">
      <c r="A83" t="s">
        <v>363</v>
      </c>
      <c r="B83" t="s">
        <v>362</v>
      </c>
      <c r="C83">
        <v>47433</v>
      </c>
    </row>
    <row r="84" spans="1:4" x14ac:dyDescent="0.25">
      <c r="A84" t="s">
        <v>364</v>
      </c>
      <c r="C84">
        <v>44628</v>
      </c>
    </row>
    <row r="85" spans="1:4" x14ac:dyDescent="0.25">
      <c r="A85" t="s">
        <v>365</v>
      </c>
      <c r="C85">
        <v>44629</v>
      </c>
    </row>
    <row r="86" spans="1:4" x14ac:dyDescent="0.25">
      <c r="A86" t="s">
        <v>366</v>
      </c>
      <c r="C86">
        <v>44630</v>
      </c>
    </row>
    <row r="87" spans="1:4" x14ac:dyDescent="0.25">
      <c r="A87" t="s">
        <v>367</v>
      </c>
      <c r="C87">
        <v>44631</v>
      </c>
    </row>
    <row r="88" spans="1:4" x14ac:dyDescent="0.25">
      <c r="A88" t="s">
        <v>368</v>
      </c>
      <c r="C88">
        <v>44632</v>
      </c>
    </row>
    <row r="89" spans="1:4" x14ac:dyDescent="0.25">
      <c r="A89" t="s">
        <v>369</v>
      </c>
      <c r="C89">
        <v>44633</v>
      </c>
    </row>
    <row r="90" spans="1:4" x14ac:dyDescent="0.25">
      <c r="A90" t="s">
        <v>370</v>
      </c>
      <c r="B90" t="s">
        <v>371</v>
      </c>
      <c r="C90">
        <v>44634</v>
      </c>
      <c r="D90" t="s">
        <v>319</v>
      </c>
    </row>
    <row r="91" spans="1:4" x14ac:dyDescent="0.25">
      <c r="A91" t="s">
        <v>372</v>
      </c>
      <c r="C91">
        <v>44635</v>
      </c>
    </row>
    <row r="92" spans="1:4" x14ac:dyDescent="0.25">
      <c r="A92" t="s">
        <v>373</v>
      </c>
      <c r="C92">
        <v>44636</v>
      </c>
    </row>
    <row r="93" spans="1:4" x14ac:dyDescent="0.25">
      <c r="A93" t="s">
        <v>374</v>
      </c>
      <c r="C93">
        <v>44637</v>
      </c>
    </row>
    <row r="94" spans="1:4" x14ac:dyDescent="0.25">
      <c r="A94" t="s">
        <v>375</v>
      </c>
      <c r="B94" t="s">
        <v>376</v>
      </c>
      <c r="C94">
        <v>44638</v>
      </c>
      <c r="D94" t="s">
        <v>252</v>
      </c>
    </row>
    <row r="95" spans="1:4" x14ac:dyDescent="0.25">
      <c r="A95" t="s">
        <v>377</v>
      </c>
      <c r="C95">
        <v>44639</v>
      </c>
    </row>
    <row r="96" spans="1:4" x14ac:dyDescent="0.25">
      <c r="A96" t="s">
        <v>378</v>
      </c>
      <c r="C96">
        <v>44640</v>
      </c>
    </row>
    <row r="97" spans="1:4" x14ac:dyDescent="0.25">
      <c r="A97" t="s">
        <v>379</v>
      </c>
      <c r="C97">
        <v>44641</v>
      </c>
    </row>
    <row r="98" spans="1:4" x14ac:dyDescent="0.25">
      <c r="A98" t="s">
        <v>380</v>
      </c>
      <c r="B98" t="s">
        <v>381</v>
      </c>
      <c r="C98">
        <v>44642</v>
      </c>
      <c r="D98" t="s">
        <v>252</v>
      </c>
    </row>
    <row r="99" spans="1:4" x14ac:dyDescent="0.25">
      <c r="A99" t="s">
        <v>382</v>
      </c>
      <c r="B99" t="s">
        <v>383</v>
      </c>
      <c r="C99">
        <v>44643</v>
      </c>
      <c r="D99" t="s">
        <v>252</v>
      </c>
    </row>
    <row r="100" spans="1:4" x14ac:dyDescent="0.25">
      <c r="A100" t="s">
        <v>384</v>
      </c>
      <c r="B100" t="s">
        <v>385</v>
      </c>
      <c r="C100">
        <v>44644</v>
      </c>
      <c r="D100" t="s">
        <v>319</v>
      </c>
    </row>
    <row r="101" spans="1:4" x14ac:dyDescent="0.25">
      <c r="A101" t="s">
        <v>386</v>
      </c>
      <c r="C101">
        <v>44645</v>
      </c>
    </row>
    <row r="102" spans="1:4" x14ac:dyDescent="0.25">
      <c r="A102" t="s">
        <v>387</v>
      </c>
      <c r="C102">
        <v>44646</v>
      </c>
    </row>
    <row r="103" spans="1:4" x14ac:dyDescent="0.25">
      <c r="A103" t="s">
        <v>388</v>
      </c>
      <c r="B103" t="s">
        <v>389</v>
      </c>
      <c r="C103">
        <v>47434</v>
      </c>
      <c r="D103" t="s">
        <v>319</v>
      </c>
    </row>
    <row r="104" spans="1:4" x14ac:dyDescent="0.25">
      <c r="A104" t="s">
        <v>390</v>
      </c>
      <c r="B104" t="s">
        <v>391</v>
      </c>
      <c r="C104">
        <v>44647</v>
      </c>
      <c r="D104" t="s">
        <v>252</v>
      </c>
    </row>
    <row r="105" spans="1:4" x14ac:dyDescent="0.25">
      <c r="A105" t="s">
        <v>392</v>
      </c>
      <c r="B105" t="s">
        <v>393</v>
      </c>
      <c r="C105">
        <v>44648</v>
      </c>
      <c r="D105" t="s">
        <v>319</v>
      </c>
    </row>
    <row r="106" spans="1:4" x14ac:dyDescent="0.25">
      <c r="A106" t="s">
        <v>394</v>
      </c>
      <c r="C106">
        <v>44649</v>
      </c>
    </row>
    <row r="107" spans="1:4" x14ac:dyDescent="0.25">
      <c r="A107" t="s">
        <v>395</v>
      </c>
      <c r="C107">
        <v>44650</v>
      </c>
    </row>
    <row r="108" spans="1:4" x14ac:dyDescent="0.25">
      <c r="A108" t="s">
        <v>396</v>
      </c>
      <c r="B108" t="s">
        <v>397</v>
      </c>
      <c r="C108">
        <v>44651</v>
      </c>
      <c r="D108" t="s">
        <v>252</v>
      </c>
    </row>
    <row r="109" spans="1:4" x14ac:dyDescent="0.25">
      <c r="A109" t="s">
        <v>398</v>
      </c>
      <c r="B109" t="s">
        <v>399</v>
      </c>
      <c r="C109">
        <v>25633</v>
      </c>
    </row>
    <row r="110" spans="1:4" x14ac:dyDescent="0.25">
      <c r="A110" t="s">
        <v>400</v>
      </c>
      <c r="B110" t="s">
        <v>399</v>
      </c>
      <c r="C110">
        <v>24504</v>
      </c>
    </row>
    <row r="111" spans="1:4" x14ac:dyDescent="0.25">
      <c r="A111" t="s">
        <v>401</v>
      </c>
      <c r="B111" t="s">
        <v>402</v>
      </c>
      <c r="C111">
        <v>25634</v>
      </c>
      <c r="D111" t="s">
        <v>267</v>
      </c>
    </row>
    <row r="112" spans="1:4" x14ac:dyDescent="0.25">
      <c r="A112" t="s">
        <v>403</v>
      </c>
      <c r="B112" t="s">
        <v>402</v>
      </c>
      <c r="C112">
        <v>24505</v>
      </c>
      <c r="D112" t="s">
        <v>267</v>
      </c>
    </row>
    <row r="113" spans="1:4" x14ac:dyDescent="0.25">
      <c r="A113" t="s">
        <v>404</v>
      </c>
      <c r="B113" t="s">
        <v>405</v>
      </c>
      <c r="C113">
        <v>25635</v>
      </c>
    </row>
    <row r="114" spans="1:4" x14ac:dyDescent="0.25">
      <c r="A114" t="s">
        <v>406</v>
      </c>
      <c r="B114" t="s">
        <v>407</v>
      </c>
      <c r="C114">
        <v>24506</v>
      </c>
      <c r="D114" t="s">
        <v>408</v>
      </c>
    </row>
    <row r="115" spans="1:4" x14ac:dyDescent="0.25">
      <c r="A115" t="s">
        <v>409</v>
      </c>
      <c r="B115" t="s">
        <v>410</v>
      </c>
      <c r="C115">
        <v>24317</v>
      </c>
    </row>
    <row r="116" spans="1:4" x14ac:dyDescent="0.25">
      <c r="A116" t="s">
        <v>411</v>
      </c>
      <c r="B116" t="s">
        <v>412</v>
      </c>
      <c r="C116">
        <v>25317</v>
      </c>
    </row>
    <row r="117" spans="1:4" x14ac:dyDescent="0.25">
      <c r="A117" t="s">
        <v>413</v>
      </c>
      <c r="B117" t="s">
        <v>414</v>
      </c>
      <c r="C117">
        <v>25318</v>
      </c>
    </row>
    <row r="118" spans="1:4" x14ac:dyDescent="0.25">
      <c r="A118" t="s">
        <v>415</v>
      </c>
      <c r="B118" t="s">
        <v>416</v>
      </c>
      <c r="C118">
        <v>25448</v>
      </c>
    </row>
    <row r="119" spans="1:4" x14ac:dyDescent="0.25">
      <c r="A119" t="s">
        <v>417</v>
      </c>
      <c r="B119" t="s">
        <v>416</v>
      </c>
      <c r="C119">
        <v>25319</v>
      </c>
    </row>
    <row r="120" spans="1:4" x14ac:dyDescent="0.25">
      <c r="A120" t="s">
        <v>418</v>
      </c>
      <c r="B120" t="s">
        <v>416</v>
      </c>
      <c r="C120">
        <v>25241</v>
      </c>
    </row>
    <row r="121" spans="1:4" x14ac:dyDescent="0.25">
      <c r="A121" t="s">
        <v>419</v>
      </c>
      <c r="B121" t="s">
        <v>420</v>
      </c>
      <c r="C121">
        <v>24087</v>
      </c>
    </row>
    <row r="122" spans="1:4" x14ac:dyDescent="0.25">
      <c r="A122" t="s">
        <v>421</v>
      </c>
      <c r="B122" t="s">
        <v>422</v>
      </c>
      <c r="C122">
        <v>25449</v>
      </c>
    </row>
    <row r="123" spans="1:4" x14ac:dyDescent="0.25">
      <c r="A123" t="s">
        <v>423</v>
      </c>
      <c r="B123" t="s">
        <v>422</v>
      </c>
      <c r="C123">
        <v>24088</v>
      </c>
    </row>
    <row r="124" spans="1:4" x14ac:dyDescent="0.25">
      <c r="A124" t="s">
        <v>424</v>
      </c>
      <c r="B124" t="s">
        <v>425</v>
      </c>
      <c r="C124">
        <v>24561</v>
      </c>
    </row>
    <row r="125" spans="1:4" x14ac:dyDescent="0.25">
      <c r="A125" t="s">
        <v>426</v>
      </c>
      <c r="B125" t="s">
        <v>427</v>
      </c>
      <c r="C125">
        <v>24562</v>
      </c>
    </row>
    <row r="126" spans="1:4" x14ac:dyDescent="0.25">
      <c r="A126" t="s">
        <v>428</v>
      </c>
      <c r="B126" t="s">
        <v>429</v>
      </c>
      <c r="C126">
        <v>25670</v>
      </c>
    </row>
    <row r="127" spans="1:4" x14ac:dyDescent="0.25">
      <c r="A127" t="s">
        <v>430</v>
      </c>
      <c r="B127" t="s">
        <v>429</v>
      </c>
      <c r="C127">
        <v>24599</v>
      </c>
    </row>
    <row r="128" spans="1:4" x14ac:dyDescent="0.25">
      <c r="A128" t="s">
        <v>431</v>
      </c>
      <c r="B128" t="s">
        <v>432</v>
      </c>
      <c r="C128">
        <v>24600</v>
      </c>
    </row>
    <row r="129" spans="1:4" x14ac:dyDescent="0.25">
      <c r="A129" t="s">
        <v>433</v>
      </c>
      <c r="B129" t="s">
        <v>434</v>
      </c>
      <c r="C129">
        <v>30875</v>
      </c>
    </row>
    <row r="130" spans="1:4" x14ac:dyDescent="0.25">
      <c r="A130" t="s">
        <v>435</v>
      </c>
      <c r="B130" t="s">
        <v>436</v>
      </c>
      <c r="C130">
        <v>47493</v>
      </c>
      <c r="D130" t="s">
        <v>319</v>
      </c>
    </row>
    <row r="131" spans="1:4" x14ac:dyDescent="0.25">
      <c r="A131" t="s">
        <v>437</v>
      </c>
      <c r="B131" t="s">
        <v>438</v>
      </c>
      <c r="C131">
        <v>47513</v>
      </c>
      <c r="D131" t="s">
        <v>319</v>
      </c>
    </row>
    <row r="132" spans="1:4" x14ac:dyDescent="0.25">
      <c r="A132" t="s">
        <v>439</v>
      </c>
      <c r="B132" t="s">
        <v>440</v>
      </c>
      <c r="C132">
        <v>47514</v>
      </c>
      <c r="D132" t="s">
        <v>319</v>
      </c>
    </row>
    <row r="133" spans="1:4" x14ac:dyDescent="0.25">
      <c r="A133" t="s">
        <v>441</v>
      </c>
      <c r="B133" t="s">
        <v>442</v>
      </c>
      <c r="C133">
        <v>47533</v>
      </c>
      <c r="D133" t="s">
        <v>319</v>
      </c>
    </row>
    <row r="134" spans="1:4" x14ac:dyDescent="0.25">
      <c r="A134" t="s">
        <v>443</v>
      </c>
      <c r="B134" t="s">
        <v>444</v>
      </c>
      <c r="C134">
        <v>47534</v>
      </c>
      <c r="D134" t="s">
        <v>319</v>
      </c>
    </row>
    <row r="135" spans="1:4" x14ac:dyDescent="0.25">
      <c r="A135" t="s">
        <v>445</v>
      </c>
      <c r="B135" t="s">
        <v>446</v>
      </c>
      <c r="C135">
        <v>47553</v>
      </c>
      <c r="D135" t="s">
        <v>319</v>
      </c>
    </row>
    <row r="136" spans="1:4" x14ac:dyDescent="0.25">
      <c r="A136" t="s">
        <v>447</v>
      </c>
      <c r="B136" t="s">
        <v>448</v>
      </c>
      <c r="C136">
        <v>47573</v>
      </c>
      <c r="D136" t="s">
        <v>319</v>
      </c>
    </row>
    <row r="137" spans="1:4" x14ac:dyDescent="0.25">
      <c r="A137" t="s">
        <v>449</v>
      </c>
      <c r="B137" t="s">
        <v>450</v>
      </c>
      <c r="C137">
        <v>33970</v>
      </c>
      <c r="D137" t="s">
        <v>231</v>
      </c>
    </row>
    <row r="138" spans="1:4" x14ac:dyDescent="0.25">
      <c r="A138" t="s">
        <v>451</v>
      </c>
      <c r="B138" t="s">
        <v>452</v>
      </c>
      <c r="C138">
        <v>25528</v>
      </c>
    </row>
    <row r="139" spans="1:4" x14ac:dyDescent="0.25">
      <c r="A139" t="s">
        <v>453</v>
      </c>
      <c r="B139" t="s">
        <v>452</v>
      </c>
      <c r="C139">
        <v>24266</v>
      </c>
    </row>
    <row r="140" spans="1:4" x14ac:dyDescent="0.25">
      <c r="A140" t="s">
        <v>454</v>
      </c>
      <c r="B140" t="s">
        <v>452</v>
      </c>
      <c r="C140">
        <v>24267</v>
      </c>
    </row>
    <row r="141" spans="1:4" x14ac:dyDescent="0.25">
      <c r="A141" t="s">
        <v>455</v>
      </c>
      <c r="B141" t="s">
        <v>456</v>
      </c>
      <c r="C141">
        <v>24268</v>
      </c>
    </row>
    <row r="142" spans="1:4" x14ac:dyDescent="0.25">
      <c r="A142" t="s">
        <v>457</v>
      </c>
      <c r="B142" t="s">
        <v>458</v>
      </c>
      <c r="C142">
        <v>44652</v>
      </c>
    </row>
    <row r="143" spans="1:4" x14ac:dyDescent="0.25">
      <c r="A143" t="s">
        <v>459</v>
      </c>
      <c r="B143" t="s">
        <v>460</v>
      </c>
      <c r="C143">
        <v>24987</v>
      </c>
      <c r="D143" t="s">
        <v>319</v>
      </c>
    </row>
    <row r="144" spans="1:4" x14ac:dyDescent="0.25">
      <c r="A144" t="s">
        <v>461</v>
      </c>
      <c r="B144" t="s">
        <v>462</v>
      </c>
      <c r="C144">
        <v>24988</v>
      </c>
    </row>
    <row r="145" spans="1:4" x14ac:dyDescent="0.25">
      <c r="A145" t="s">
        <v>463</v>
      </c>
      <c r="B145" t="s">
        <v>464</v>
      </c>
      <c r="C145">
        <v>44653</v>
      </c>
    </row>
    <row r="146" spans="1:4" x14ac:dyDescent="0.25">
      <c r="A146" t="s">
        <v>465</v>
      </c>
      <c r="B146" t="s">
        <v>466</v>
      </c>
      <c r="C146">
        <v>24989</v>
      </c>
    </row>
    <row r="147" spans="1:4" x14ac:dyDescent="0.25">
      <c r="A147" t="s">
        <v>467</v>
      </c>
      <c r="B147" t="s">
        <v>468</v>
      </c>
      <c r="C147">
        <v>24990</v>
      </c>
    </row>
    <row r="148" spans="1:4" x14ac:dyDescent="0.25">
      <c r="A148" t="s">
        <v>469</v>
      </c>
      <c r="B148" t="s">
        <v>470</v>
      </c>
      <c r="C148">
        <v>24991</v>
      </c>
    </row>
    <row r="149" spans="1:4" x14ac:dyDescent="0.25">
      <c r="A149" t="s">
        <v>471</v>
      </c>
      <c r="B149" t="s">
        <v>472</v>
      </c>
      <c r="C149">
        <v>24992</v>
      </c>
      <c r="D149" t="s">
        <v>231</v>
      </c>
    </row>
    <row r="150" spans="1:4" x14ac:dyDescent="0.25">
      <c r="A150" t="s">
        <v>473</v>
      </c>
      <c r="B150" t="s">
        <v>474</v>
      </c>
      <c r="C150">
        <v>24993</v>
      </c>
    </row>
    <row r="151" spans="1:4" x14ac:dyDescent="0.25">
      <c r="A151" t="s">
        <v>475</v>
      </c>
      <c r="B151" t="s">
        <v>476</v>
      </c>
      <c r="C151">
        <v>24994</v>
      </c>
    </row>
    <row r="152" spans="1:4" x14ac:dyDescent="0.25">
      <c r="A152" t="s">
        <v>477</v>
      </c>
      <c r="B152" t="s">
        <v>478</v>
      </c>
      <c r="C152">
        <v>24719</v>
      </c>
    </row>
    <row r="153" spans="1:4" x14ac:dyDescent="0.25">
      <c r="A153" t="s">
        <v>479</v>
      </c>
      <c r="B153" t="s">
        <v>480</v>
      </c>
      <c r="C153">
        <v>25743</v>
      </c>
    </row>
    <row r="154" spans="1:4" x14ac:dyDescent="0.25">
      <c r="A154" t="s">
        <v>481</v>
      </c>
      <c r="B154" t="s">
        <v>480</v>
      </c>
      <c r="C154">
        <v>24812</v>
      </c>
    </row>
    <row r="155" spans="1:4" x14ac:dyDescent="0.25">
      <c r="A155" t="s">
        <v>482</v>
      </c>
      <c r="B155" t="s">
        <v>483</v>
      </c>
      <c r="C155">
        <v>24333</v>
      </c>
    </row>
    <row r="156" spans="1:4" x14ac:dyDescent="0.25">
      <c r="A156" t="s">
        <v>484</v>
      </c>
      <c r="B156" t="s">
        <v>485</v>
      </c>
      <c r="C156">
        <v>25554</v>
      </c>
      <c r="D156" t="s">
        <v>267</v>
      </c>
    </row>
    <row r="157" spans="1:4" x14ac:dyDescent="0.25">
      <c r="A157" t="s">
        <v>486</v>
      </c>
      <c r="B157" t="s">
        <v>485</v>
      </c>
      <c r="C157">
        <v>24334</v>
      </c>
      <c r="D157" t="s">
        <v>267</v>
      </c>
    </row>
    <row r="158" spans="1:4" x14ac:dyDescent="0.25">
      <c r="A158" t="s">
        <v>487</v>
      </c>
      <c r="B158" t="s">
        <v>488</v>
      </c>
      <c r="C158">
        <v>24285</v>
      </c>
    </row>
    <row r="159" spans="1:4" x14ac:dyDescent="0.25">
      <c r="A159" t="s">
        <v>489</v>
      </c>
      <c r="B159" t="s">
        <v>490</v>
      </c>
      <c r="C159">
        <v>24208</v>
      </c>
      <c r="D159" t="s">
        <v>491</v>
      </c>
    </row>
    <row r="160" spans="1:4" x14ac:dyDescent="0.25">
      <c r="A160" t="s">
        <v>492</v>
      </c>
      <c r="B160" t="s">
        <v>493</v>
      </c>
      <c r="C160">
        <v>24209</v>
      </c>
      <c r="D160" t="s">
        <v>211</v>
      </c>
    </row>
    <row r="161" spans="1:4" x14ac:dyDescent="0.25">
      <c r="A161" t="s">
        <v>494</v>
      </c>
      <c r="B161" t="s">
        <v>495</v>
      </c>
      <c r="C161">
        <v>30842</v>
      </c>
    </row>
    <row r="162" spans="1:4" x14ac:dyDescent="0.25">
      <c r="A162" t="s">
        <v>496</v>
      </c>
      <c r="B162" t="s">
        <v>497</v>
      </c>
      <c r="C162">
        <v>25557</v>
      </c>
    </row>
    <row r="163" spans="1:4" x14ac:dyDescent="0.25">
      <c r="A163" t="s">
        <v>498</v>
      </c>
      <c r="B163" t="s">
        <v>497</v>
      </c>
      <c r="C163">
        <v>24337</v>
      </c>
    </row>
    <row r="164" spans="1:4" x14ac:dyDescent="0.25">
      <c r="A164" t="s">
        <v>499</v>
      </c>
      <c r="B164" t="s">
        <v>500</v>
      </c>
      <c r="C164">
        <v>25558</v>
      </c>
    </row>
    <row r="165" spans="1:4" x14ac:dyDescent="0.25">
      <c r="A165" t="s">
        <v>501</v>
      </c>
      <c r="B165" t="s">
        <v>500</v>
      </c>
      <c r="C165">
        <v>24338</v>
      </c>
    </row>
    <row r="166" spans="1:4" x14ac:dyDescent="0.25">
      <c r="A166" t="s">
        <v>502</v>
      </c>
      <c r="B166" t="s">
        <v>503</v>
      </c>
      <c r="C166">
        <v>25559</v>
      </c>
    </row>
    <row r="167" spans="1:4" x14ac:dyDescent="0.25">
      <c r="A167" t="s">
        <v>504</v>
      </c>
      <c r="B167" t="s">
        <v>503</v>
      </c>
      <c r="C167">
        <v>24339</v>
      </c>
    </row>
    <row r="168" spans="1:4" x14ac:dyDescent="0.25">
      <c r="A168" t="s">
        <v>505</v>
      </c>
      <c r="B168" t="s">
        <v>506</v>
      </c>
      <c r="C168">
        <v>41324</v>
      </c>
    </row>
    <row r="169" spans="1:4" x14ac:dyDescent="0.25">
      <c r="A169" t="s">
        <v>507</v>
      </c>
      <c r="B169" t="s">
        <v>508</v>
      </c>
      <c r="C169">
        <v>24340</v>
      </c>
    </row>
    <row r="170" spans="1:4" x14ac:dyDescent="0.25">
      <c r="A170" t="s">
        <v>509</v>
      </c>
      <c r="B170" t="s">
        <v>510</v>
      </c>
      <c r="C170">
        <v>24341</v>
      </c>
    </row>
    <row r="171" spans="1:4" x14ac:dyDescent="0.25">
      <c r="A171" t="s">
        <v>511</v>
      </c>
      <c r="B171" t="s">
        <v>512</v>
      </c>
      <c r="C171">
        <v>24342</v>
      </c>
    </row>
    <row r="172" spans="1:4" x14ac:dyDescent="0.25">
      <c r="A172" t="s">
        <v>513</v>
      </c>
      <c r="B172" t="s">
        <v>514</v>
      </c>
      <c r="C172">
        <v>25560</v>
      </c>
    </row>
    <row r="173" spans="1:4" x14ac:dyDescent="0.25">
      <c r="A173" t="s">
        <v>515</v>
      </c>
      <c r="B173" t="s">
        <v>514</v>
      </c>
      <c r="C173">
        <v>24343</v>
      </c>
    </row>
    <row r="174" spans="1:4" x14ac:dyDescent="0.25">
      <c r="A174" t="s">
        <v>516</v>
      </c>
      <c r="B174" t="s">
        <v>517</v>
      </c>
      <c r="C174">
        <v>24344</v>
      </c>
    </row>
    <row r="175" spans="1:4" x14ac:dyDescent="0.25">
      <c r="A175" t="s">
        <v>518</v>
      </c>
      <c r="B175" t="s">
        <v>519</v>
      </c>
      <c r="C175">
        <v>41326</v>
      </c>
      <c r="D175" t="s">
        <v>211</v>
      </c>
    </row>
    <row r="176" spans="1:4" x14ac:dyDescent="0.25">
      <c r="A176" t="s">
        <v>520</v>
      </c>
      <c r="B176" t="s">
        <v>521</v>
      </c>
      <c r="C176">
        <v>41327</v>
      </c>
      <c r="D176" t="s">
        <v>267</v>
      </c>
    </row>
    <row r="177" spans="1:4" x14ac:dyDescent="0.25">
      <c r="A177" t="s">
        <v>522</v>
      </c>
      <c r="B177" t="s">
        <v>523</v>
      </c>
      <c r="C177">
        <v>48573</v>
      </c>
      <c r="D177" t="s">
        <v>267</v>
      </c>
    </row>
    <row r="178" spans="1:4" x14ac:dyDescent="0.25">
      <c r="A178" t="s">
        <v>524</v>
      </c>
      <c r="B178" t="s">
        <v>525</v>
      </c>
      <c r="C178">
        <v>41328</v>
      </c>
      <c r="D178" t="s">
        <v>267</v>
      </c>
    </row>
    <row r="179" spans="1:4" x14ac:dyDescent="0.25">
      <c r="A179" t="s">
        <v>526</v>
      </c>
      <c r="B179" t="s">
        <v>527</v>
      </c>
      <c r="C179">
        <v>47654</v>
      </c>
    </row>
    <row r="180" spans="1:4" x14ac:dyDescent="0.25">
      <c r="A180" t="s">
        <v>528</v>
      </c>
      <c r="B180" t="s">
        <v>529</v>
      </c>
      <c r="C180">
        <v>24610</v>
      </c>
    </row>
    <row r="181" spans="1:4" x14ac:dyDescent="0.25">
      <c r="A181" t="s">
        <v>530</v>
      </c>
      <c r="B181" t="s">
        <v>531</v>
      </c>
      <c r="C181">
        <v>25736</v>
      </c>
      <c r="D181" t="s">
        <v>267</v>
      </c>
    </row>
    <row r="182" spans="1:4" x14ac:dyDescent="0.25">
      <c r="A182" t="s">
        <v>532</v>
      </c>
      <c r="B182" t="s">
        <v>531</v>
      </c>
      <c r="C182">
        <v>24778</v>
      </c>
      <c r="D182" t="s">
        <v>267</v>
      </c>
    </row>
    <row r="183" spans="1:4" x14ac:dyDescent="0.25">
      <c r="A183" t="s">
        <v>533</v>
      </c>
      <c r="B183" t="s">
        <v>534</v>
      </c>
      <c r="C183">
        <v>25396</v>
      </c>
    </row>
    <row r="184" spans="1:4" x14ac:dyDescent="0.25">
      <c r="A184" t="s">
        <v>535</v>
      </c>
      <c r="B184" t="s">
        <v>536</v>
      </c>
      <c r="C184">
        <v>41375</v>
      </c>
    </row>
    <row r="185" spans="1:4" x14ac:dyDescent="0.25">
      <c r="A185" t="s">
        <v>537</v>
      </c>
      <c r="B185" t="s">
        <v>538</v>
      </c>
      <c r="C185">
        <v>25566</v>
      </c>
    </row>
    <row r="186" spans="1:4" x14ac:dyDescent="0.25">
      <c r="A186" t="s">
        <v>539</v>
      </c>
      <c r="B186" t="s">
        <v>538</v>
      </c>
      <c r="C186">
        <v>24352</v>
      </c>
    </row>
    <row r="187" spans="1:4" x14ac:dyDescent="0.25">
      <c r="A187" t="s">
        <v>540</v>
      </c>
      <c r="B187" t="s">
        <v>541</v>
      </c>
      <c r="C187">
        <v>24353</v>
      </c>
    </row>
    <row r="188" spans="1:4" x14ac:dyDescent="0.25">
      <c r="A188" t="s">
        <v>542</v>
      </c>
      <c r="B188" t="s">
        <v>543</v>
      </c>
      <c r="C188">
        <v>25567</v>
      </c>
    </row>
    <row r="189" spans="1:4" x14ac:dyDescent="0.25">
      <c r="A189" t="s">
        <v>544</v>
      </c>
      <c r="B189" t="s">
        <v>543</v>
      </c>
      <c r="C189">
        <v>24354</v>
      </c>
    </row>
    <row r="190" spans="1:4" x14ac:dyDescent="0.25">
      <c r="A190" t="s">
        <v>545</v>
      </c>
      <c r="B190" t="s">
        <v>546</v>
      </c>
      <c r="C190">
        <v>24355</v>
      </c>
    </row>
    <row r="191" spans="1:4" x14ac:dyDescent="0.25">
      <c r="A191" t="s">
        <v>547</v>
      </c>
      <c r="B191" t="s">
        <v>548</v>
      </c>
      <c r="C191">
        <v>24356</v>
      </c>
    </row>
    <row r="192" spans="1:4" x14ac:dyDescent="0.25">
      <c r="A192" t="s">
        <v>549</v>
      </c>
      <c r="B192" t="s">
        <v>550</v>
      </c>
      <c r="C192">
        <v>24357</v>
      </c>
    </row>
    <row r="193" spans="1:4" x14ac:dyDescent="0.25">
      <c r="A193" t="s">
        <v>551</v>
      </c>
      <c r="B193" t="s">
        <v>552</v>
      </c>
      <c r="C193">
        <v>25320</v>
      </c>
    </row>
    <row r="194" spans="1:4" x14ac:dyDescent="0.25">
      <c r="A194" t="s">
        <v>553</v>
      </c>
      <c r="B194" t="s">
        <v>554</v>
      </c>
      <c r="C194">
        <v>25236</v>
      </c>
    </row>
    <row r="195" spans="1:4" x14ac:dyDescent="0.25">
      <c r="A195" t="s">
        <v>555</v>
      </c>
      <c r="B195" t="s">
        <v>556</v>
      </c>
      <c r="C195">
        <v>47673</v>
      </c>
      <c r="D195" t="s">
        <v>319</v>
      </c>
    </row>
    <row r="196" spans="1:4" x14ac:dyDescent="0.25">
      <c r="A196" t="s">
        <v>557</v>
      </c>
      <c r="B196" t="s">
        <v>558</v>
      </c>
      <c r="C196">
        <v>41379</v>
      </c>
      <c r="D196" t="s">
        <v>211</v>
      </c>
    </row>
    <row r="197" spans="1:4" x14ac:dyDescent="0.25">
      <c r="A197" t="s">
        <v>559</v>
      </c>
      <c r="B197" t="s">
        <v>560</v>
      </c>
      <c r="C197">
        <v>44616</v>
      </c>
      <c r="D197" t="s">
        <v>211</v>
      </c>
    </row>
    <row r="198" spans="1:4" x14ac:dyDescent="0.25">
      <c r="A198" t="s">
        <v>561</v>
      </c>
      <c r="B198" t="s">
        <v>562</v>
      </c>
      <c r="C198">
        <v>41381</v>
      </c>
      <c r="D198" t="s">
        <v>211</v>
      </c>
    </row>
    <row r="199" spans="1:4" x14ac:dyDescent="0.25">
      <c r="A199" t="s">
        <v>563</v>
      </c>
      <c r="B199" t="s">
        <v>564</v>
      </c>
      <c r="C199">
        <v>41382</v>
      </c>
      <c r="D199" t="s">
        <v>211</v>
      </c>
    </row>
    <row r="200" spans="1:4" x14ac:dyDescent="0.25">
      <c r="A200" t="s">
        <v>565</v>
      </c>
      <c r="B200" t="s">
        <v>566</v>
      </c>
      <c r="C200">
        <v>41383</v>
      </c>
      <c r="D200" t="s">
        <v>211</v>
      </c>
    </row>
    <row r="201" spans="1:4" x14ac:dyDescent="0.25">
      <c r="A201" t="s">
        <v>567</v>
      </c>
      <c r="B201" t="s">
        <v>568</v>
      </c>
      <c r="C201">
        <v>41384</v>
      </c>
      <c r="D201" t="s">
        <v>211</v>
      </c>
    </row>
    <row r="202" spans="1:4" x14ac:dyDescent="0.25">
      <c r="A202" t="s">
        <v>569</v>
      </c>
      <c r="B202" t="s">
        <v>570</v>
      </c>
      <c r="C202">
        <v>41385</v>
      </c>
      <c r="D202" t="s">
        <v>211</v>
      </c>
    </row>
    <row r="203" spans="1:4" x14ac:dyDescent="0.25">
      <c r="A203" t="s">
        <v>571</v>
      </c>
      <c r="B203" t="s">
        <v>572</v>
      </c>
      <c r="C203">
        <v>41386</v>
      </c>
      <c r="D203" t="s">
        <v>211</v>
      </c>
    </row>
    <row r="204" spans="1:4" x14ac:dyDescent="0.25">
      <c r="A204" t="s">
        <v>573</v>
      </c>
      <c r="B204" t="s">
        <v>574</v>
      </c>
      <c r="C204">
        <v>41387</v>
      </c>
      <c r="D204" t="s">
        <v>211</v>
      </c>
    </row>
    <row r="205" spans="1:4" x14ac:dyDescent="0.25">
      <c r="A205" t="s">
        <v>575</v>
      </c>
      <c r="B205" t="s">
        <v>576</v>
      </c>
      <c r="C205">
        <v>41388</v>
      </c>
      <c r="D205" t="s">
        <v>211</v>
      </c>
    </row>
    <row r="206" spans="1:4" x14ac:dyDescent="0.25">
      <c r="A206" t="s">
        <v>577</v>
      </c>
      <c r="B206" t="s">
        <v>578</v>
      </c>
      <c r="C206">
        <v>41389</v>
      </c>
      <c r="D206" t="s">
        <v>211</v>
      </c>
    </row>
    <row r="207" spans="1:4" x14ac:dyDescent="0.25">
      <c r="A207" t="s">
        <v>579</v>
      </c>
      <c r="B207" t="s">
        <v>580</v>
      </c>
      <c r="C207">
        <v>41390</v>
      </c>
      <c r="D207" t="s">
        <v>211</v>
      </c>
    </row>
    <row r="208" spans="1:4" x14ac:dyDescent="0.25">
      <c r="A208" t="s">
        <v>581</v>
      </c>
      <c r="B208" t="s">
        <v>582</v>
      </c>
      <c r="C208">
        <v>41391</v>
      </c>
      <c r="D208" t="s">
        <v>211</v>
      </c>
    </row>
    <row r="209" spans="1:4" x14ac:dyDescent="0.25">
      <c r="A209" t="s">
        <v>583</v>
      </c>
      <c r="B209" t="s">
        <v>584</v>
      </c>
      <c r="C209">
        <v>41392</v>
      </c>
      <c r="D209" t="s">
        <v>211</v>
      </c>
    </row>
    <row r="210" spans="1:4" x14ac:dyDescent="0.25">
      <c r="A210" t="s">
        <v>585</v>
      </c>
      <c r="B210" t="s">
        <v>586</v>
      </c>
      <c r="C210">
        <v>41393</v>
      </c>
      <c r="D210" t="s">
        <v>211</v>
      </c>
    </row>
    <row r="211" spans="1:4" x14ac:dyDescent="0.25">
      <c r="A211" t="s">
        <v>587</v>
      </c>
      <c r="B211" t="s">
        <v>588</v>
      </c>
      <c r="C211">
        <v>41394</v>
      </c>
      <c r="D211" t="s">
        <v>211</v>
      </c>
    </row>
    <row r="212" spans="1:4" x14ac:dyDescent="0.25">
      <c r="A212" t="s">
        <v>589</v>
      </c>
      <c r="B212" t="s">
        <v>590</v>
      </c>
      <c r="C212">
        <v>24358</v>
      </c>
      <c r="D212" t="s">
        <v>408</v>
      </c>
    </row>
    <row r="213" spans="1:4" x14ac:dyDescent="0.25">
      <c r="A213" t="s">
        <v>591</v>
      </c>
      <c r="B213" t="s">
        <v>592</v>
      </c>
      <c r="C213">
        <v>48574</v>
      </c>
      <c r="D213" t="s">
        <v>231</v>
      </c>
    </row>
    <row r="214" spans="1:4" x14ac:dyDescent="0.25">
      <c r="A214" t="s">
        <v>593</v>
      </c>
      <c r="B214" t="s">
        <v>594</v>
      </c>
      <c r="C214">
        <v>34110</v>
      </c>
      <c r="D214" t="s">
        <v>211</v>
      </c>
    </row>
    <row r="215" spans="1:4" x14ac:dyDescent="0.25">
      <c r="A215" t="s">
        <v>595</v>
      </c>
      <c r="B215" t="s">
        <v>596</v>
      </c>
      <c r="C215">
        <v>49214</v>
      </c>
    </row>
    <row r="216" spans="1:4" x14ac:dyDescent="0.25">
      <c r="A216" t="s">
        <v>597</v>
      </c>
      <c r="B216" t="s">
        <v>598</v>
      </c>
      <c r="C216">
        <v>33971</v>
      </c>
      <c r="D216" t="s">
        <v>252</v>
      </c>
    </row>
    <row r="217" spans="1:4" x14ac:dyDescent="0.25">
      <c r="A217" t="s">
        <v>599</v>
      </c>
      <c r="B217" t="s">
        <v>600</v>
      </c>
      <c r="C217">
        <v>33972</v>
      </c>
    </row>
    <row r="218" spans="1:4" x14ac:dyDescent="0.25">
      <c r="A218" t="s">
        <v>601</v>
      </c>
      <c r="B218" t="s">
        <v>602</v>
      </c>
      <c r="C218">
        <v>47713</v>
      </c>
    </row>
    <row r="219" spans="1:4" x14ac:dyDescent="0.25">
      <c r="A219" t="s">
        <v>603</v>
      </c>
      <c r="B219" t="s">
        <v>604</v>
      </c>
      <c r="C219">
        <v>33973</v>
      </c>
      <c r="D219" t="s">
        <v>252</v>
      </c>
    </row>
    <row r="220" spans="1:4" x14ac:dyDescent="0.25">
      <c r="A220" t="s">
        <v>605</v>
      </c>
      <c r="B220" t="s">
        <v>606</v>
      </c>
      <c r="C220">
        <v>25539</v>
      </c>
    </row>
    <row r="221" spans="1:4" x14ac:dyDescent="0.25">
      <c r="A221" t="s">
        <v>607</v>
      </c>
      <c r="B221" t="s">
        <v>606</v>
      </c>
      <c r="C221">
        <v>24287</v>
      </c>
    </row>
    <row r="222" spans="1:4" x14ac:dyDescent="0.25">
      <c r="A222" t="s">
        <v>608</v>
      </c>
      <c r="B222" t="s">
        <v>609</v>
      </c>
      <c r="C222">
        <v>24318</v>
      </c>
    </row>
    <row r="223" spans="1:4" x14ac:dyDescent="0.25">
      <c r="A223" t="s">
        <v>610</v>
      </c>
      <c r="B223" t="s">
        <v>611</v>
      </c>
      <c r="C223">
        <v>24044</v>
      </c>
    </row>
    <row r="224" spans="1:4" x14ac:dyDescent="0.25">
      <c r="A224" t="s">
        <v>612</v>
      </c>
      <c r="B224" t="s">
        <v>613</v>
      </c>
      <c r="C224">
        <v>24045</v>
      </c>
    </row>
    <row r="225" spans="1:4" x14ac:dyDescent="0.25">
      <c r="A225" t="s">
        <v>614</v>
      </c>
      <c r="B225" t="s">
        <v>615</v>
      </c>
      <c r="C225">
        <v>24046</v>
      </c>
      <c r="D225" t="s">
        <v>408</v>
      </c>
    </row>
    <row r="226" spans="1:4" x14ac:dyDescent="0.25">
      <c r="A226" t="s">
        <v>616</v>
      </c>
      <c r="B226" t="s">
        <v>615</v>
      </c>
      <c r="C226">
        <v>47733</v>
      </c>
      <c r="D226" t="s">
        <v>408</v>
      </c>
    </row>
    <row r="227" spans="1:4" x14ac:dyDescent="0.25">
      <c r="A227" t="s">
        <v>617</v>
      </c>
      <c r="B227" t="s">
        <v>618</v>
      </c>
      <c r="C227">
        <v>24047</v>
      </c>
    </row>
    <row r="228" spans="1:4" x14ac:dyDescent="0.25">
      <c r="A228" t="s">
        <v>619</v>
      </c>
      <c r="B228" t="s">
        <v>620</v>
      </c>
      <c r="C228">
        <v>25450</v>
      </c>
      <c r="D228" t="s">
        <v>408</v>
      </c>
    </row>
    <row r="229" spans="1:4" x14ac:dyDescent="0.25">
      <c r="A229" t="s">
        <v>621</v>
      </c>
      <c r="B229" t="s">
        <v>622</v>
      </c>
      <c r="C229">
        <v>24048</v>
      </c>
      <c r="D229" t="s">
        <v>408</v>
      </c>
    </row>
    <row r="230" spans="1:4" x14ac:dyDescent="0.25">
      <c r="A230" t="s">
        <v>623</v>
      </c>
      <c r="B230" t="s">
        <v>624</v>
      </c>
      <c r="C230">
        <v>24049</v>
      </c>
      <c r="D230" t="s">
        <v>408</v>
      </c>
    </row>
    <row r="231" spans="1:4" x14ac:dyDescent="0.25">
      <c r="A231" t="s">
        <v>625</v>
      </c>
      <c r="B231" t="s">
        <v>626</v>
      </c>
      <c r="C231">
        <v>47753</v>
      </c>
    </row>
    <row r="232" spans="1:4" x14ac:dyDescent="0.25">
      <c r="A232" t="s">
        <v>627</v>
      </c>
      <c r="B232" t="s">
        <v>628</v>
      </c>
      <c r="C232">
        <v>24050</v>
      </c>
      <c r="D232" t="s">
        <v>408</v>
      </c>
    </row>
    <row r="233" spans="1:4" x14ac:dyDescent="0.25">
      <c r="A233" t="s">
        <v>629</v>
      </c>
      <c r="B233" t="s">
        <v>628</v>
      </c>
      <c r="C233">
        <v>47773</v>
      </c>
      <c r="D233" t="s">
        <v>408</v>
      </c>
    </row>
    <row r="234" spans="1:4" x14ac:dyDescent="0.25">
      <c r="A234" t="s">
        <v>630</v>
      </c>
      <c r="B234" t="s">
        <v>631</v>
      </c>
      <c r="C234">
        <v>33905</v>
      </c>
      <c r="D234" t="s">
        <v>408</v>
      </c>
    </row>
    <row r="235" spans="1:4" x14ac:dyDescent="0.25">
      <c r="A235" t="s">
        <v>632</v>
      </c>
      <c r="B235" t="s">
        <v>633</v>
      </c>
      <c r="C235">
        <v>33906</v>
      </c>
      <c r="D235" t="s">
        <v>408</v>
      </c>
    </row>
    <row r="236" spans="1:4" x14ac:dyDescent="0.25">
      <c r="A236" t="s">
        <v>634</v>
      </c>
      <c r="B236" t="s">
        <v>635</v>
      </c>
      <c r="C236">
        <v>34065</v>
      </c>
      <c r="D236" t="s">
        <v>231</v>
      </c>
    </row>
    <row r="237" spans="1:4" x14ac:dyDescent="0.25">
      <c r="A237" t="s">
        <v>636</v>
      </c>
      <c r="B237" t="s">
        <v>637</v>
      </c>
      <c r="C237">
        <v>24074</v>
      </c>
    </row>
    <row r="238" spans="1:4" x14ac:dyDescent="0.25">
      <c r="A238" t="s">
        <v>638</v>
      </c>
      <c r="B238" t="s">
        <v>639</v>
      </c>
      <c r="C238">
        <v>47813</v>
      </c>
      <c r="D238" t="s">
        <v>211</v>
      </c>
    </row>
    <row r="239" spans="1:4" x14ac:dyDescent="0.25">
      <c r="A239" t="s">
        <v>640</v>
      </c>
      <c r="B239" t="s">
        <v>641</v>
      </c>
      <c r="C239">
        <v>47833</v>
      </c>
      <c r="D239" t="s">
        <v>408</v>
      </c>
    </row>
    <row r="240" spans="1:4" x14ac:dyDescent="0.25">
      <c r="A240" t="s">
        <v>642</v>
      </c>
      <c r="B240" t="s">
        <v>643</v>
      </c>
      <c r="C240">
        <v>47853</v>
      </c>
      <c r="D240" t="s">
        <v>252</v>
      </c>
    </row>
    <row r="241" spans="1:4" x14ac:dyDescent="0.25">
      <c r="A241" t="s">
        <v>644</v>
      </c>
      <c r="B241" t="s">
        <v>645</v>
      </c>
      <c r="C241">
        <v>47873</v>
      </c>
      <c r="D241" t="s">
        <v>231</v>
      </c>
    </row>
    <row r="242" spans="1:4" x14ac:dyDescent="0.25">
      <c r="A242" t="s">
        <v>646</v>
      </c>
      <c r="B242" t="s">
        <v>647</v>
      </c>
      <c r="C242">
        <v>47893</v>
      </c>
      <c r="D242" t="s">
        <v>281</v>
      </c>
    </row>
    <row r="243" spans="1:4" x14ac:dyDescent="0.25">
      <c r="A243" t="s">
        <v>648</v>
      </c>
      <c r="B243" t="s">
        <v>649</v>
      </c>
      <c r="C243">
        <v>47894</v>
      </c>
      <c r="D243" t="s">
        <v>408</v>
      </c>
    </row>
    <row r="244" spans="1:4" x14ac:dyDescent="0.25">
      <c r="A244" t="s">
        <v>650</v>
      </c>
      <c r="B244" t="s">
        <v>651</v>
      </c>
      <c r="C244">
        <v>47895</v>
      </c>
      <c r="D244" t="s">
        <v>408</v>
      </c>
    </row>
    <row r="245" spans="1:4" x14ac:dyDescent="0.25">
      <c r="A245" t="s">
        <v>652</v>
      </c>
      <c r="B245" t="s">
        <v>653</v>
      </c>
      <c r="C245">
        <v>47896</v>
      </c>
      <c r="D245" t="s">
        <v>654</v>
      </c>
    </row>
    <row r="246" spans="1:4" x14ac:dyDescent="0.25">
      <c r="A246" t="s">
        <v>655</v>
      </c>
      <c r="B246" t="s">
        <v>656</v>
      </c>
      <c r="C246">
        <v>25451</v>
      </c>
      <c r="D246" t="s">
        <v>491</v>
      </c>
    </row>
    <row r="247" spans="1:4" x14ac:dyDescent="0.25">
      <c r="A247" t="s">
        <v>657</v>
      </c>
      <c r="B247" t="s">
        <v>658</v>
      </c>
      <c r="C247">
        <v>48575</v>
      </c>
      <c r="D247" t="s">
        <v>491</v>
      </c>
    </row>
    <row r="248" spans="1:4" x14ac:dyDescent="0.25">
      <c r="A248" t="s">
        <v>659</v>
      </c>
      <c r="B248" t="s">
        <v>660</v>
      </c>
      <c r="C248">
        <v>24161</v>
      </c>
      <c r="D248" t="s">
        <v>654</v>
      </c>
    </row>
    <row r="249" spans="1:4" x14ac:dyDescent="0.25">
      <c r="A249" t="s">
        <v>661</v>
      </c>
      <c r="B249" t="s">
        <v>662</v>
      </c>
      <c r="C249">
        <v>24160</v>
      </c>
      <c r="D249" t="s">
        <v>491</v>
      </c>
    </row>
    <row r="250" spans="1:4" x14ac:dyDescent="0.25">
      <c r="A250" t="s">
        <v>663</v>
      </c>
      <c r="B250" t="s">
        <v>664</v>
      </c>
      <c r="C250">
        <v>25452</v>
      </c>
      <c r="D250" t="s">
        <v>281</v>
      </c>
    </row>
    <row r="251" spans="1:4" x14ac:dyDescent="0.25">
      <c r="A251" t="s">
        <v>665</v>
      </c>
      <c r="B251" t="s">
        <v>664</v>
      </c>
      <c r="C251">
        <v>24162</v>
      </c>
      <c r="D251" t="s">
        <v>281</v>
      </c>
    </row>
    <row r="252" spans="1:4" x14ac:dyDescent="0.25">
      <c r="A252" t="s">
        <v>666</v>
      </c>
      <c r="B252" t="s">
        <v>667</v>
      </c>
      <c r="C252">
        <v>34051</v>
      </c>
      <c r="D252" t="s">
        <v>654</v>
      </c>
    </row>
    <row r="253" spans="1:4" x14ac:dyDescent="0.25">
      <c r="A253" t="s">
        <v>668</v>
      </c>
      <c r="B253" t="s">
        <v>669</v>
      </c>
      <c r="C253">
        <v>24319</v>
      </c>
    </row>
    <row r="254" spans="1:4" x14ac:dyDescent="0.25">
      <c r="A254" t="s">
        <v>670</v>
      </c>
      <c r="B254" t="s">
        <v>671</v>
      </c>
      <c r="C254">
        <v>33931</v>
      </c>
      <c r="D254" t="s">
        <v>211</v>
      </c>
    </row>
    <row r="255" spans="1:4" x14ac:dyDescent="0.25">
      <c r="A255" t="s">
        <v>672</v>
      </c>
      <c r="B255" t="s">
        <v>673</v>
      </c>
      <c r="C255">
        <v>25324</v>
      </c>
    </row>
    <row r="256" spans="1:4" x14ac:dyDescent="0.25">
      <c r="A256" t="s">
        <v>674</v>
      </c>
      <c r="B256" t="s">
        <v>675</v>
      </c>
      <c r="C256">
        <v>24251</v>
      </c>
    </row>
    <row r="257" spans="1:4" x14ac:dyDescent="0.25">
      <c r="A257" t="s">
        <v>676</v>
      </c>
      <c r="B257" t="s">
        <v>677</v>
      </c>
      <c r="C257">
        <v>24345</v>
      </c>
      <c r="D257" t="s">
        <v>408</v>
      </c>
    </row>
    <row r="258" spans="1:4" x14ac:dyDescent="0.25">
      <c r="A258" t="s">
        <v>678</v>
      </c>
      <c r="B258" t="s">
        <v>679</v>
      </c>
      <c r="C258">
        <v>34054</v>
      </c>
      <c r="D258" t="s">
        <v>231</v>
      </c>
    </row>
    <row r="259" spans="1:4" x14ac:dyDescent="0.25">
      <c r="A259" t="s">
        <v>680</v>
      </c>
      <c r="B259" t="s">
        <v>681</v>
      </c>
      <c r="C259">
        <v>34053</v>
      </c>
      <c r="D259" t="s">
        <v>252</v>
      </c>
    </row>
    <row r="260" spans="1:4" x14ac:dyDescent="0.25">
      <c r="A260" t="s">
        <v>682</v>
      </c>
      <c r="B260" t="s">
        <v>683</v>
      </c>
      <c r="C260">
        <v>49213</v>
      </c>
    </row>
    <row r="261" spans="1:4" x14ac:dyDescent="0.25">
      <c r="A261" t="s">
        <v>684</v>
      </c>
      <c r="B261" t="s">
        <v>685</v>
      </c>
      <c r="C261">
        <v>34055</v>
      </c>
      <c r="D261" t="s">
        <v>252</v>
      </c>
    </row>
    <row r="262" spans="1:4" x14ac:dyDescent="0.25">
      <c r="A262" t="s">
        <v>686</v>
      </c>
      <c r="B262" t="s">
        <v>687</v>
      </c>
      <c r="C262">
        <v>34056</v>
      </c>
      <c r="D262" t="s">
        <v>252</v>
      </c>
    </row>
    <row r="263" spans="1:4" x14ac:dyDescent="0.25">
      <c r="A263" t="s">
        <v>688</v>
      </c>
      <c r="B263" t="s">
        <v>689</v>
      </c>
      <c r="C263">
        <v>34057</v>
      </c>
      <c r="D263" t="s">
        <v>319</v>
      </c>
    </row>
    <row r="264" spans="1:4" x14ac:dyDescent="0.25">
      <c r="A264" t="s">
        <v>690</v>
      </c>
      <c r="B264" t="s">
        <v>691</v>
      </c>
      <c r="C264">
        <v>34058</v>
      </c>
      <c r="D264" t="s">
        <v>654</v>
      </c>
    </row>
    <row r="265" spans="1:4" x14ac:dyDescent="0.25">
      <c r="A265" t="s">
        <v>692</v>
      </c>
      <c r="B265" t="s">
        <v>693</v>
      </c>
      <c r="C265">
        <v>34059</v>
      </c>
      <c r="D265" t="s">
        <v>654</v>
      </c>
    </row>
    <row r="266" spans="1:4" x14ac:dyDescent="0.25">
      <c r="A266" t="s">
        <v>694</v>
      </c>
      <c r="B266" t="s">
        <v>695</v>
      </c>
      <c r="C266">
        <v>25331</v>
      </c>
    </row>
    <row r="267" spans="1:4" x14ac:dyDescent="0.25">
      <c r="A267" t="s">
        <v>696</v>
      </c>
      <c r="B267" t="s">
        <v>697</v>
      </c>
      <c r="C267">
        <v>42373</v>
      </c>
    </row>
    <row r="268" spans="1:4" x14ac:dyDescent="0.25">
      <c r="A268" t="s">
        <v>698</v>
      </c>
      <c r="B268" t="s">
        <v>697</v>
      </c>
      <c r="C268">
        <v>42374</v>
      </c>
    </row>
    <row r="269" spans="1:4" x14ac:dyDescent="0.25">
      <c r="A269" t="s">
        <v>699</v>
      </c>
      <c r="B269" t="s">
        <v>697</v>
      </c>
      <c r="C269">
        <v>42380</v>
      </c>
    </row>
    <row r="270" spans="1:4" x14ac:dyDescent="0.25">
      <c r="A270" t="s">
        <v>700</v>
      </c>
      <c r="B270" t="s">
        <v>701</v>
      </c>
      <c r="C270">
        <v>25334</v>
      </c>
    </row>
    <row r="271" spans="1:4" x14ac:dyDescent="0.25">
      <c r="A271" t="s">
        <v>702</v>
      </c>
      <c r="B271" t="s">
        <v>703</v>
      </c>
      <c r="C271">
        <v>42381</v>
      </c>
    </row>
    <row r="272" spans="1:4" x14ac:dyDescent="0.25">
      <c r="A272" t="s">
        <v>704</v>
      </c>
      <c r="B272" t="s">
        <v>705</v>
      </c>
      <c r="C272">
        <v>33932</v>
      </c>
      <c r="D272" t="s">
        <v>319</v>
      </c>
    </row>
    <row r="273" spans="1:4" x14ac:dyDescent="0.25">
      <c r="A273" t="s">
        <v>706</v>
      </c>
      <c r="B273" t="s">
        <v>707</v>
      </c>
      <c r="C273">
        <v>33933</v>
      </c>
      <c r="D273" t="s">
        <v>231</v>
      </c>
    </row>
    <row r="274" spans="1:4" x14ac:dyDescent="0.25">
      <c r="A274" t="s">
        <v>708</v>
      </c>
      <c r="B274" t="s">
        <v>709</v>
      </c>
      <c r="C274">
        <v>33934</v>
      </c>
      <c r="D274" t="s">
        <v>231</v>
      </c>
    </row>
    <row r="275" spans="1:4" x14ac:dyDescent="0.25">
      <c r="A275" t="s">
        <v>710</v>
      </c>
      <c r="B275" t="s">
        <v>711</v>
      </c>
      <c r="C275">
        <v>33935</v>
      </c>
      <c r="D275" t="s">
        <v>319</v>
      </c>
    </row>
    <row r="276" spans="1:4" x14ac:dyDescent="0.25">
      <c r="A276" t="s">
        <v>712</v>
      </c>
      <c r="B276" t="s">
        <v>713</v>
      </c>
      <c r="C276">
        <v>33936</v>
      </c>
      <c r="D276" t="s">
        <v>231</v>
      </c>
    </row>
    <row r="277" spans="1:4" x14ac:dyDescent="0.25">
      <c r="A277" t="s">
        <v>714</v>
      </c>
      <c r="B277" t="s">
        <v>715</v>
      </c>
      <c r="C277">
        <v>24252</v>
      </c>
    </row>
    <row r="278" spans="1:4" x14ac:dyDescent="0.25">
      <c r="A278" t="s">
        <v>716</v>
      </c>
      <c r="B278" t="s">
        <v>717</v>
      </c>
      <c r="C278">
        <v>34139</v>
      </c>
      <c r="D278" t="s">
        <v>319</v>
      </c>
    </row>
    <row r="279" spans="1:4" x14ac:dyDescent="0.25">
      <c r="A279" t="s">
        <v>718</v>
      </c>
      <c r="B279" t="s">
        <v>719</v>
      </c>
      <c r="C279">
        <v>24685</v>
      </c>
      <c r="D279" t="s">
        <v>267</v>
      </c>
    </row>
    <row r="280" spans="1:4" x14ac:dyDescent="0.25">
      <c r="A280" t="s">
        <v>720</v>
      </c>
      <c r="B280" t="s">
        <v>721</v>
      </c>
      <c r="C280">
        <v>30835</v>
      </c>
    </row>
    <row r="281" spans="1:4" x14ac:dyDescent="0.25">
      <c r="A281" t="s">
        <v>722</v>
      </c>
      <c r="B281" t="s">
        <v>723</v>
      </c>
      <c r="C281">
        <v>33937</v>
      </c>
      <c r="D281" t="s">
        <v>281</v>
      </c>
    </row>
    <row r="282" spans="1:4" x14ac:dyDescent="0.25">
      <c r="A282" t="s">
        <v>724</v>
      </c>
      <c r="B282" t="s">
        <v>725</v>
      </c>
      <c r="C282">
        <v>24359</v>
      </c>
    </row>
    <row r="283" spans="1:4" x14ac:dyDescent="0.25">
      <c r="A283" t="s">
        <v>726</v>
      </c>
      <c r="B283" t="s">
        <v>727</v>
      </c>
      <c r="C283">
        <v>47897</v>
      </c>
    </row>
    <row r="284" spans="1:4" x14ac:dyDescent="0.25">
      <c r="A284" t="s">
        <v>728</v>
      </c>
      <c r="B284" t="s">
        <v>727</v>
      </c>
      <c r="C284">
        <v>47898</v>
      </c>
    </row>
    <row r="285" spans="1:4" x14ac:dyDescent="0.25">
      <c r="A285" t="s">
        <v>729</v>
      </c>
      <c r="B285" t="s">
        <v>730</v>
      </c>
      <c r="C285">
        <v>25713</v>
      </c>
    </row>
    <row r="286" spans="1:4" x14ac:dyDescent="0.25">
      <c r="A286" t="s">
        <v>731</v>
      </c>
      <c r="B286" t="s">
        <v>730</v>
      </c>
      <c r="C286">
        <v>24720</v>
      </c>
    </row>
    <row r="287" spans="1:4" x14ac:dyDescent="0.25">
      <c r="A287" t="s">
        <v>732</v>
      </c>
      <c r="B287" t="s">
        <v>730</v>
      </c>
      <c r="C287">
        <v>24721</v>
      </c>
    </row>
    <row r="288" spans="1:4" x14ac:dyDescent="0.25">
      <c r="A288" t="s">
        <v>733</v>
      </c>
      <c r="B288" t="s">
        <v>734</v>
      </c>
      <c r="C288">
        <v>24722</v>
      </c>
    </row>
    <row r="289" spans="1:4" x14ac:dyDescent="0.25">
      <c r="A289" t="s">
        <v>735</v>
      </c>
      <c r="B289" t="s">
        <v>736</v>
      </c>
      <c r="C289">
        <v>25714</v>
      </c>
    </row>
    <row r="290" spans="1:4" x14ac:dyDescent="0.25">
      <c r="A290" t="s">
        <v>737</v>
      </c>
      <c r="B290" t="s">
        <v>738</v>
      </c>
      <c r="C290">
        <v>24723</v>
      </c>
    </row>
    <row r="291" spans="1:4" x14ac:dyDescent="0.25">
      <c r="A291" t="s">
        <v>739</v>
      </c>
      <c r="B291" t="s">
        <v>740</v>
      </c>
      <c r="C291">
        <v>24724</v>
      </c>
      <c r="D291" t="s">
        <v>491</v>
      </c>
    </row>
    <row r="292" spans="1:4" x14ac:dyDescent="0.25">
      <c r="A292" t="s">
        <v>741</v>
      </c>
      <c r="B292" t="s">
        <v>742</v>
      </c>
      <c r="C292">
        <v>25715</v>
      </c>
    </row>
    <row r="293" spans="1:4" x14ac:dyDescent="0.25">
      <c r="A293" t="s">
        <v>743</v>
      </c>
      <c r="B293" t="s">
        <v>742</v>
      </c>
      <c r="C293">
        <v>24725</v>
      </c>
    </row>
    <row r="294" spans="1:4" x14ac:dyDescent="0.25">
      <c r="A294" t="s">
        <v>744</v>
      </c>
      <c r="B294" t="s">
        <v>742</v>
      </c>
      <c r="C294">
        <v>24726</v>
      </c>
    </row>
    <row r="295" spans="1:4" x14ac:dyDescent="0.25">
      <c r="A295" t="s">
        <v>745</v>
      </c>
      <c r="B295" t="s">
        <v>746</v>
      </c>
      <c r="C295">
        <v>25716</v>
      </c>
    </row>
    <row r="296" spans="1:4" x14ac:dyDescent="0.25">
      <c r="A296" t="s">
        <v>747</v>
      </c>
      <c r="B296" t="s">
        <v>746</v>
      </c>
      <c r="C296">
        <v>24728</v>
      </c>
    </row>
    <row r="297" spans="1:4" x14ac:dyDescent="0.25">
      <c r="A297" t="s">
        <v>748</v>
      </c>
      <c r="B297" t="s">
        <v>746</v>
      </c>
      <c r="C297">
        <v>24727</v>
      </c>
    </row>
    <row r="298" spans="1:4" x14ac:dyDescent="0.25">
      <c r="A298" t="s">
        <v>749</v>
      </c>
      <c r="B298" t="s">
        <v>750</v>
      </c>
      <c r="C298">
        <v>24729</v>
      </c>
    </row>
    <row r="299" spans="1:4" x14ac:dyDescent="0.25">
      <c r="A299" t="s">
        <v>751</v>
      </c>
      <c r="B299" t="s">
        <v>752</v>
      </c>
      <c r="C299">
        <v>25598</v>
      </c>
    </row>
    <row r="300" spans="1:4" x14ac:dyDescent="0.25">
      <c r="A300" t="s">
        <v>753</v>
      </c>
      <c r="B300" t="s">
        <v>752</v>
      </c>
      <c r="C300">
        <v>24427</v>
      </c>
    </row>
    <row r="301" spans="1:4" x14ac:dyDescent="0.25">
      <c r="A301" t="s">
        <v>754</v>
      </c>
      <c r="B301" t="s">
        <v>755</v>
      </c>
      <c r="C301">
        <v>42307</v>
      </c>
    </row>
    <row r="302" spans="1:4" x14ac:dyDescent="0.25">
      <c r="A302" t="s">
        <v>756</v>
      </c>
      <c r="B302" t="s">
        <v>757</v>
      </c>
      <c r="C302">
        <v>25599</v>
      </c>
    </row>
    <row r="303" spans="1:4" x14ac:dyDescent="0.25">
      <c r="A303" t="s">
        <v>758</v>
      </c>
      <c r="B303" t="s">
        <v>757</v>
      </c>
      <c r="C303">
        <v>24428</v>
      </c>
    </row>
    <row r="304" spans="1:4" x14ac:dyDescent="0.25">
      <c r="A304" t="s">
        <v>759</v>
      </c>
      <c r="B304" t="s">
        <v>760</v>
      </c>
      <c r="C304">
        <v>24269</v>
      </c>
    </row>
    <row r="305" spans="1:4" x14ac:dyDescent="0.25">
      <c r="A305" t="s">
        <v>761</v>
      </c>
      <c r="B305" t="s">
        <v>762</v>
      </c>
      <c r="C305">
        <v>33998</v>
      </c>
      <c r="D305" t="s">
        <v>211</v>
      </c>
    </row>
    <row r="306" spans="1:4" x14ac:dyDescent="0.25">
      <c r="A306" t="s">
        <v>763</v>
      </c>
      <c r="B306" t="s">
        <v>764</v>
      </c>
      <c r="C306">
        <v>33999</v>
      </c>
      <c r="D306" t="s">
        <v>211</v>
      </c>
    </row>
    <row r="307" spans="1:4" x14ac:dyDescent="0.25">
      <c r="A307" t="s">
        <v>765</v>
      </c>
      <c r="B307" t="s">
        <v>760</v>
      </c>
      <c r="C307">
        <v>34000</v>
      </c>
    </row>
    <row r="308" spans="1:4" x14ac:dyDescent="0.25">
      <c r="A308" t="s">
        <v>766</v>
      </c>
      <c r="B308" t="s">
        <v>767</v>
      </c>
      <c r="C308">
        <v>33938</v>
      </c>
      <c r="D308" t="s">
        <v>231</v>
      </c>
    </row>
    <row r="309" spans="1:4" x14ac:dyDescent="0.25">
      <c r="A309" t="s">
        <v>768</v>
      </c>
      <c r="B309" t="s">
        <v>769</v>
      </c>
      <c r="C309">
        <v>24779</v>
      </c>
      <c r="D309" t="s">
        <v>267</v>
      </c>
    </row>
    <row r="310" spans="1:4" x14ac:dyDescent="0.25">
      <c r="A310" t="s">
        <v>770</v>
      </c>
      <c r="B310" t="s">
        <v>771</v>
      </c>
      <c r="C310">
        <v>24780</v>
      </c>
      <c r="D310" t="s">
        <v>267</v>
      </c>
    </row>
    <row r="311" spans="1:4" x14ac:dyDescent="0.25">
      <c r="A311" t="s">
        <v>772</v>
      </c>
      <c r="B311" t="s">
        <v>773</v>
      </c>
      <c r="C311">
        <v>25737</v>
      </c>
    </row>
    <row r="312" spans="1:4" x14ac:dyDescent="0.25">
      <c r="A312" t="s">
        <v>774</v>
      </c>
      <c r="B312" t="s">
        <v>773</v>
      </c>
      <c r="C312">
        <v>24781</v>
      </c>
    </row>
    <row r="313" spans="1:4" x14ac:dyDescent="0.25">
      <c r="A313" t="s">
        <v>775</v>
      </c>
      <c r="B313" t="s">
        <v>776</v>
      </c>
      <c r="C313">
        <v>24782</v>
      </c>
    </row>
    <row r="314" spans="1:4" x14ac:dyDescent="0.25">
      <c r="A314" t="s">
        <v>777</v>
      </c>
      <c r="B314" t="s">
        <v>778</v>
      </c>
      <c r="C314">
        <v>25738</v>
      </c>
      <c r="D314" t="s">
        <v>267</v>
      </c>
    </row>
    <row r="315" spans="1:4" x14ac:dyDescent="0.25">
      <c r="A315" t="s">
        <v>779</v>
      </c>
      <c r="B315" t="s">
        <v>780</v>
      </c>
      <c r="C315">
        <v>42308</v>
      </c>
      <c r="D315" t="s">
        <v>267</v>
      </c>
    </row>
    <row r="316" spans="1:4" x14ac:dyDescent="0.25">
      <c r="A316" t="s">
        <v>781</v>
      </c>
      <c r="B316" t="s">
        <v>782</v>
      </c>
      <c r="C316">
        <v>24783</v>
      </c>
      <c r="D316" t="s">
        <v>267</v>
      </c>
    </row>
    <row r="317" spans="1:4" x14ac:dyDescent="0.25">
      <c r="A317" t="s">
        <v>783</v>
      </c>
      <c r="B317" t="s">
        <v>784</v>
      </c>
      <c r="C317">
        <v>24784</v>
      </c>
      <c r="D317" t="s">
        <v>281</v>
      </c>
    </row>
    <row r="318" spans="1:4" x14ac:dyDescent="0.25">
      <c r="A318" t="s">
        <v>785</v>
      </c>
      <c r="B318" t="s">
        <v>786</v>
      </c>
      <c r="C318">
        <v>24785</v>
      </c>
    </row>
    <row r="319" spans="1:4" x14ac:dyDescent="0.25">
      <c r="A319" t="s">
        <v>787</v>
      </c>
      <c r="B319" t="s">
        <v>788</v>
      </c>
      <c r="C319">
        <v>24786</v>
      </c>
      <c r="D319" t="s">
        <v>267</v>
      </c>
    </row>
    <row r="320" spans="1:4" x14ac:dyDescent="0.25">
      <c r="A320" t="s">
        <v>789</v>
      </c>
      <c r="B320" t="s">
        <v>790</v>
      </c>
      <c r="C320">
        <v>24787</v>
      </c>
    </row>
    <row r="321" spans="1:4" x14ac:dyDescent="0.25">
      <c r="A321" t="s">
        <v>791</v>
      </c>
      <c r="B321" t="s">
        <v>792</v>
      </c>
      <c r="C321">
        <v>24788</v>
      </c>
      <c r="D321" t="s">
        <v>267</v>
      </c>
    </row>
    <row r="322" spans="1:4" x14ac:dyDescent="0.25">
      <c r="A322" t="s">
        <v>793</v>
      </c>
      <c r="B322" t="s">
        <v>794</v>
      </c>
      <c r="C322">
        <v>24789</v>
      </c>
      <c r="D322" t="s">
        <v>267</v>
      </c>
    </row>
    <row r="323" spans="1:4" x14ac:dyDescent="0.25">
      <c r="A323" t="s">
        <v>795</v>
      </c>
      <c r="B323" t="s">
        <v>796</v>
      </c>
      <c r="C323">
        <v>24790</v>
      </c>
      <c r="D323" t="s">
        <v>281</v>
      </c>
    </row>
    <row r="324" spans="1:4" x14ac:dyDescent="0.25">
      <c r="A324" t="s">
        <v>797</v>
      </c>
      <c r="B324" t="s">
        <v>798</v>
      </c>
      <c r="C324">
        <v>24397</v>
      </c>
    </row>
    <row r="325" spans="1:4" x14ac:dyDescent="0.25">
      <c r="A325" t="s">
        <v>799</v>
      </c>
      <c r="B325" t="s">
        <v>800</v>
      </c>
      <c r="C325">
        <v>24686</v>
      </c>
      <c r="D325" t="s">
        <v>267</v>
      </c>
    </row>
    <row r="326" spans="1:4" x14ac:dyDescent="0.25">
      <c r="A326" t="s">
        <v>801</v>
      </c>
      <c r="B326" t="s">
        <v>802</v>
      </c>
      <c r="C326">
        <v>25717</v>
      </c>
    </row>
    <row r="327" spans="1:4" x14ac:dyDescent="0.25">
      <c r="A327" t="s">
        <v>803</v>
      </c>
      <c r="B327" t="s">
        <v>804</v>
      </c>
      <c r="C327">
        <v>24730</v>
      </c>
    </row>
    <row r="328" spans="1:4" x14ac:dyDescent="0.25">
      <c r="A328" t="s">
        <v>805</v>
      </c>
      <c r="B328" t="s">
        <v>806</v>
      </c>
      <c r="C328">
        <v>24731</v>
      </c>
      <c r="D328" t="s">
        <v>211</v>
      </c>
    </row>
    <row r="329" spans="1:4" x14ac:dyDescent="0.25">
      <c r="A329" t="s">
        <v>807</v>
      </c>
      <c r="B329" t="s">
        <v>802</v>
      </c>
      <c r="C329">
        <v>24732</v>
      </c>
    </row>
    <row r="330" spans="1:4" x14ac:dyDescent="0.25">
      <c r="A330" t="s">
        <v>808</v>
      </c>
      <c r="B330" t="s">
        <v>809</v>
      </c>
      <c r="C330">
        <v>24733</v>
      </c>
      <c r="D330" t="s">
        <v>408</v>
      </c>
    </row>
    <row r="331" spans="1:4" x14ac:dyDescent="0.25">
      <c r="A331" t="s">
        <v>810</v>
      </c>
      <c r="B331" t="s">
        <v>811</v>
      </c>
      <c r="C331">
        <v>24734</v>
      </c>
      <c r="D331" t="s">
        <v>408</v>
      </c>
    </row>
    <row r="332" spans="1:4" x14ac:dyDescent="0.25">
      <c r="A332" t="s">
        <v>812</v>
      </c>
      <c r="B332" t="s">
        <v>813</v>
      </c>
      <c r="C332">
        <v>48400</v>
      </c>
      <c r="D332" t="s">
        <v>408</v>
      </c>
    </row>
    <row r="333" spans="1:4" x14ac:dyDescent="0.25">
      <c r="A333" t="s">
        <v>814</v>
      </c>
      <c r="B333" t="s">
        <v>815</v>
      </c>
      <c r="C333">
        <v>24254</v>
      </c>
    </row>
    <row r="334" spans="1:4" x14ac:dyDescent="0.25">
      <c r="A334" t="s">
        <v>816</v>
      </c>
      <c r="B334" t="s">
        <v>817</v>
      </c>
      <c r="C334">
        <v>48920</v>
      </c>
    </row>
    <row r="335" spans="1:4" x14ac:dyDescent="0.25">
      <c r="A335" t="s">
        <v>818</v>
      </c>
      <c r="B335" t="s">
        <v>819</v>
      </c>
      <c r="C335">
        <v>24072</v>
      </c>
    </row>
    <row r="336" spans="1:4" x14ac:dyDescent="0.25">
      <c r="A336" t="s">
        <v>820</v>
      </c>
      <c r="B336" t="s">
        <v>821</v>
      </c>
      <c r="C336">
        <v>24253</v>
      </c>
    </row>
    <row r="337" spans="1:4" x14ac:dyDescent="0.25">
      <c r="A337" t="s">
        <v>822</v>
      </c>
      <c r="B337" t="s">
        <v>823</v>
      </c>
      <c r="C337">
        <v>43341</v>
      </c>
    </row>
    <row r="338" spans="1:4" x14ac:dyDescent="0.25">
      <c r="A338" t="s">
        <v>824</v>
      </c>
      <c r="B338" t="s">
        <v>825</v>
      </c>
      <c r="C338">
        <v>30857</v>
      </c>
    </row>
    <row r="339" spans="1:4" x14ac:dyDescent="0.25">
      <c r="A339" t="s">
        <v>826</v>
      </c>
      <c r="B339" t="s">
        <v>825</v>
      </c>
      <c r="C339">
        <v>48156</v>
      </c>
    </row>
    <row r="340" spans="1:4" x14ac:dyDescent="0.25">
      <c r="A340" t="s">
        <v>827</v>
      </c>
      <c r="B340" t="s">
        <v>828</v>
      </c>
      <c r="C340">
        <v>34034</v>
      </c>
      <c r="D340" t="s">
        <v>211</v>
      </c>
    </row>
    <row r="341" spans="1:4" x14ac:dyDescent="0.25">
      <c r="A341" t="s">
        <v>829</v>
      </c>
      <c r="B341" t="s">
        <v>830</v>
      </c>
      <c r="C341">
        <v>34031</v>
      </c>
      <c r="D341" t="s">
        <v>211</v>
      </c>
    </row>
    <row r="342" spans="1:4" x14ac:dyDescent="0.25">
      <c r="A342" t="s">
        <v>831</v>
      </c>
      <c r="B342" t="s">
        <v>832</v>
      </c>
      <c r="C342">
        <v>25625</v>
      </c>
    </row>
    <row r="343" spans="1:4" x14ac:dyDescent="0.25">
      <c r="A343" t="s">
        <v>833</v>
      </c>
      <c r="B343" t="s">
        <v>832</v>
      </c>
      <c r="C343">
        <v>24480</v>
      </c>
    </row>
    <row r="344" spans="1:4" x14ac:dyDescent="0.25">
      <c r="A344" t="s">
        <v>834</v>
      </c>
      <c r="B344" t="s">
        <v>835</v>
      </c>
      <c r="C344">
        <v>25335</v>
      </c>
      <c r="D344" t="s">
        <v>408</v>
      </c>
    </row>
    <row r="345" spans="1:4" x14ac:dyDescent="0.25">
      <c r="A345" t="s">
        <v>836</v>
      </c>
      <c r="B345" t="s">
        <v>837</v>
      </c>
      <c r="C345">
        <v>34066</v>
      </c>
      <c r="D345" t="s">
        <v>211</v>
      </c>
    </row>
    <row r="346" spans="1:4" x14ac:dyDescent="0.25">
      <c r="A346" t="s">
        <v>838</v>
      </c>
      <c r="B346" t="s">
        <v>839</v>
      </c>
      <c r="C346">
        <v>25012</v>
      </c>
    </row>
    <row r="347" spans="1:4" x14ac:dyDescent="0.25">
      <c r="A347" t="s">
        <v>840</v>
      </c>
      <c r="B347" t="s">
        <v>841</v>
      </c>
      <c r="C347">
        <v>25013</v>
      </c>
    </row>
    <row r="348" spans="1:4" x14ac:dyDescent="0.25">
      <c r="A348" t="s">
        <v>842</v>
      </c>
      <c r="B348" t="s">
        <v>843</v>
      </c>
      <c r="C348">
        <v>25014</v>
      </c>
    </row>
    <row r="349" spans="1:4" x14ac:dyDescent="0.25">
      <c r="A349" t="s">
        <v>844</v>
      </c>
      <c r="B349" t="s">
        <v>845</v>
      </c>
      <c r="C349">
        <v>25015</v>
      </c>
    </row>
    <row r="350" spans="1:4" x14ac:dyDescent="0.25">
      <c r="A350" t="s">
        <v>846</v>
      </c>
      <c r="B350" t="s">
        <v>847</v>
      </c>
      <c r="C350">
        <v>25016</v>
      </c>
    </row>
    <row r="351" spans="1:4" x14ac:dyDescent="0.25">
      <c r="A351" t="s">
        <v>848</v>
      </c>
      <c r="B351" t="s">
        <v>849</v>
      </c>
      <c r="C351">
        <v>25017</v>
      </c>
    </row>
    <row r="352" spans="1:4" x14ac:dyDescent="0.25">
      <c r="A352" t="s">
        <v>850</v>
      </c>
      <c r="B352" t="s">
        <v>851</v>
      </c>
      <c r="C352">
        <v>47902</v>
      </c>
      <c r="D352" t="s">
        <v>267</v>
      </c>
    </row>
    <row r="353" spans="1:4" x14ac:dyDescent="0.25">
      <c r="A353" t="s">
        <v>852</v>
      </c>
      <c r="B353" t="s">
        <v>851</v>
      </c>
      <c r="C353">
        <v>47903</v>
      </c>
      <c r="D353" t="s">
        <v>267</v>
      </c>
    </row>
    <row r="354" spans="1:4" x14ac:dyDescent="0.25">
      <c r="A354" t="s">
        <v>853</v>
      </c>
      <c r="B354" t="s">
        <v>854</v>
      </c>
      <c r="C354">
        <v>30855</v>
      </c>
    </row>
    <row r="355" spans="1:4" x14ac:dyDescent="0.25">
      <c r="A355" t="s">
        <v>855</v>
      </c>
      <c r="B355" t="s">
        <v>854</v>
      </c>
      <c r="C355">
        <v>30856</v>
      </c>
    </row>
    <row r="356" spans="1:4" x14ac:dyDescent="0.25">
      <c r="A356" t="s">
        <v>856</v>
      </c>
      <c r="B356" t="s">
        <v>857</v>
      </c>
      <c r="C356">
        <v>25600</v>
      </c>
    </row>
    <row r="357" spans="1:4" x14ac:dyDescent="0.25">
      <c r="A357" t="s">
        <v>858</v>
      </c>
      <c r="B357" t="s">
        <v>857</v>
      </c>
      <c r="C357">
        <v>24430</v>
      </c>
    </row>
    <row r="358" spans="1:4" x14ac:dyDescent="0.25">
      <c r="A358" t="s">
        <v>859</v>
      </c>
      <c r="B358" t="s">
        <v>857</v>
      </c>
      <c r="C358">
        <v>30884</v>
      </c>
    </row>
    <row r="359" spans="1:4" x14ac:dyDescent="0.25">
      <c r="A359" t="s">
        <v>860</v>
      </c>
      <c r="B359" t="s">
        <v>861</v>
      </c>
      <c r="C359">
        <v>25326</v>
      </c>
    </row>
    <row r="360" spans="1:4" x14ac:dyDescent="0.25">
      <c r="A360" t="s">
        <v>862</v>
      </c>
      <c r="B360" t="s">
        <v>863</v>
      </c>
      <c r="C360">
        <v>24086</v>
      </c>
    </row>
    <row r="361" spans="1:4" x14ac:dyDescent="0.25">
      <c r="A361" t="s">
        <v>864</v>
      </c>
      <c r="B361" t="s">
        <v>865</v>
      </c>
      <c r="C361">
        <v>25551</v>
      </c>
    </row>
    <row r="362" spans="1:4" x14ac:dyDescent="0.25">
      <c r="A362" t="s">
        <v>866</v>
      </c>
      <c r="B362" t="s">
        <v>867</v>
      </c>
      <c r="C362">
        <v>24320</v>
      </c>
      <c r="D362" t="s">
        <v>211</v>
      </c>
    </row>
    <row r="363" spans="1:4" x14ac:dyDescent="0.25">
      <c r="A363" t="s">
        <v>868</v>
      </c>
      <c r="B363" t="s">
        <v>869</v>
      </c>
      <c r="C363">
        <v>24564</v>
      </c>
    </row>
    <row r="364" spans="1:4" x14ac:dyDescent="0.25">
      <c r="A364" t="s">
        <v>870</v>
      </c>
      <c r="B364" t="s">
        <v>871</v>
      </c>
      <c r="C364">
        <v>24255</v>
      </c>
    </row>
    <row r="365" spans="1:4" x14ac:dyDescent="0.25">
      <c r="A365" t="s">
        <v>872</v>
      </c>
      <c r="B365" t="s">
        <v>873</v>
      </c>
      <c r="C365">
        <v>47905</v>
      </c>
    </row>
    <row r="366" spans="1:4" x14ac:dyDescent="0.25">
      <c r="A366" t="s">
        <v>874</v>
      </c>
      <c r="B366" t="s">
        <v>873</v>
      </c>
      <c r="C366">
        <v>47906</v>
      </c>
    </row>
    <row r="367" spans="1:4" x14ac:dyDescent="0.25">
      <c r="A367" t="s">
        <v>875</v>
      </c>
      <c r="B367" t="s">
        <v>876</v>
      </c>
      <c r="C367">
        <v>24181</v>
      </c>
    </row>
    <row r="368" spans="1:4" x14ac:dyDescent="0.25">
      <c r="A368" t="s">
        <v>877</v>
      </c>
      <c r="B368" t="s">
        <v>878</v>
      </c>
      <c r="C368">
        <v>47907</v>
      </c>
    </row>
    <row r="369" spans="1:4" x14ac:dyDescent="0.25">
      <c r="A369" t="s">
        <v>879</v>
      </c>
      <c r="B369" t="s">
        <v>880</v>
      </c>
      <c r="C369">
        <v>24149</v>
      </c>
      <c r="D369" t="s">
        <v>654</v>
      </c>
    </row>
    <row r="370" spans="1:4" x14ac:dyDescent="0.25">
      <c r="A370" t="s">
        <v>881</v>
      </c>
      <c r="B370" t="s">
        <v>882</v>
      </c>
      <c r="C370">
        <v>25583</v>
      </c>
    </row>
    <row r="371" spans="1:4" x14ac:dyDescent="0.25">
      <c r="A371" t="s">
        <v>883</v>
      </c>
      <c r="B371" t="s">
        <v>882</v>
      </c>
      <c r="C371">
        <v>24398</v>
      </c>
    </row>
    <row r="372" spans="1:4" x14ac:dyDescent="0.25">
      <c r="A372" t="s">
        <v>884</v>
      </c>
      <c r="B372" t="s">
        <v>885</v>
      </c>
      <c r="C372">
        <v>24186</v>
      </c>
    </row>
    <row r="373" spans="1:4" x14ac:dyDescent="0.25">
      <c r="A373" t="s">
        <v>886</v>
      </c>
      <c r="B373" t="s">
        <v>887</v>
      </c>
      <c r="C373">
        <v>24187</v>
      </c>
    </row>
    <row r="374" spans="1:4" x14ac:dyDescent="0.25">
      <c r="A374" t="s">
        <v>888</v>
      </c>
      <c r="B374" t="s">
        <v>889</v>
      </c>
      <c r="C374">
        <v>24188</v>
      </c>
    </row>
    <row r="375" spans="1:4" x14ac:dyDescent="0.25">
      <c r="A375" t="s">
        <v>890</v>
      </c>
      <c r="B375" t="s">
        <v>891</v>
      </c>
      <c r="C375">
        <v>25572</v>
      </c>
    </row>
    <row r="376" spans="1:4" x14ac:dyDescent="0.25">
      <c r="A376" t="s">
        <v>892</v>
      </c>
      <c r="B376" t="s">
        <v>891</v>
      </c>
      <c r="C376">
        <v>24369</v>
      </c>
    </row>
    <row r="377" spans="1:4" x14ac:dyDescent="0.25">
      <c r="A377" t="s">
        <v>893</v>
      </c>
      <c r="B377" t="s">
        <v>894</v>
      </c>
      <c r="C377">
        <v>25573</v>
      </c>
      <c r="D377" t="s">
        <v>267</v>
      </c>
    </row>
    <row r="378" spans="1:4" x14ac:dyDescent="0.25">
      <c r="A378" t="s">
        <v>895</v>
      </c>
      <c r="B378" t="s">
        <v>894</v>
      </c>
      <c r="C378">
        <v>24370</v>
      </c>
      <c r="D378" t="s">
        <v>267</v>
      </c>
    </row>
    <row r="379" spans="1:4" x14ac:dyDescent="0.25">
      <c r="A379" t="s">
        <v>896</v>
      </c>
      <c r="B379" t="s">
        <v>897</v>
      </c>
      <c r="C379">
        <v>25574</v>
      </c>
      <c r="D379" t="s">
        <v>267</v>
      </c>
    </row>
    <row r="380" spans="1:4" x14ac:dyDescent="0.25">
      <c r="A380" t="s">
        <v>898</v>
      </c>
      <c r="B380" t="s">
        <v>897</v>
      </c>
      <c r="C380">
        <v>24371</v>
      </c>
      <c r="D380" t="s">
        <v>267</v>
      </c>
    </row>
    <row r="381" spans="1:4" x14ac:dyDescent="0.25">
      <c r="A381" t="s">
        <v>899</v>
      </c>
      <c r="B381" t="s">
        <v>900</v>
      </c>
      <c r="C381">
        <v>30850</v>
      </c>
    </row>
    <row r="382" spans="1:4" x14ac:dyDescent="0.25">
      <c r="A382" t="s">
        <v>901</v>
      </c>
      <c r="B382" t="s">
        <v>902</v>
      </c>
      <c r="C382">
        <v>25575</v>
      </c>
      <c r="D382" t="s">
        <v>211</v>
      </c>
    </row>
    <row r="383" spans="1:4" x14ac:dyDescent="0.25">
      <c r="A383" t="s">
        <v>903</v>
      </c>
      <c r="B383" t="s">
        <v>904</v>
      </c>
      <c r="C383">
        <v>24372</v>
      </c>
      <c r="D383" t="s">
        <v>211</v>
      </c>
    </row>
    <row r="384" spans="1:4" x14ac:dyDescent="0.25">
      <c r="A384" t="s">
        <v>905</v>
      </c>
      <c r="B384" t="s">
        <v>906</v>
      </c>
      <c r="C384">
        <v>25576</v>
      </c>
      <c r="D384" t="s">
        <v>408</v>
      </c>
    </row>
    <row r="385" spans="1:4" x14ac:dyDescent="0.25">
      <c r="A385" t="s">
        <v>907</v>
      </c>
      <c r="B385" t="s">
        <v>906</v>
      </c>
      <c r="C385">
        <v>24374</v>
      </c>
      <c r="D385" t="s">
        <v>408</v>
      </c>
    </row>
    <row r="386" spans="1:4" x14ac:dyDescent="0.25">
      <c r="A386" t="s">
        <v>908</v>
      </c>
      <c r="B386" t="s">
        <v>906</v>
      </c>
      <c r="C386">
        <v>24375</v>
      </c>
      <c r="D386" t="s">
        <v>408</v>
      </c>
    </row>
    <row r="387" spans="1:4" x14ac:dyDescent="0.25">
      <c r="A387" t="s">
        <v>909</v>
      </c>
      <c r="B387" t="s">
        <v>910</v>
      </c>
      <c r="C387">
        <v>24377</v>
      </c>
    </row>
    <row r="388" spans="1:4" x14ac:dyDescent="0.25">
      <c r="A388" t="s">
        <v>911</v>
      </c>
      <c r="B388" t="s">
        <v>912</v>
      </c>
      <c r="C388">
        <v>24378</v>
      </c>
      <c r="D388" t="s">
        <v>267</v>
      </c>
    </row>
    <row r="389" spans="1:4" x14ac:dyDescent="0.25">
      <c r="A389" t="s">
        <v>913</v>
      </c>
      <c r="B389" t="s">
        <v>914</v>
      </c>
      <c r="C389">
        <v>42382</v>
      </c>
    </row>
    <row r="390" spans="1:4" x14ac:dyDescent="0.25">
      <c r="A390" t="s">
        <v>915</v>
      </c>
      <c r="B390" t="s">
        <v>916</v>
      </c>
      <c r="C390">
        <v>43380</v>
      </c>
    </row>
    <row r="391" spans="1:4" x14ac:dyDescent="0.25">
      <c r="A391" t="s">
        <v>917</v>
      </c>
      <c r="B391" t="s">
        <v>918</v>
      </c>
      <c r="C391">
        <v>48157</v>
      </c>
    </row>
    <row r="392" spans="1:4" x14ac:dyDescent="0.25">
      <c r="A392" t="s">
        <v>919</v>
      </c>
      <c r="B392" t="s">
        <v>920</v>
      </c>
      <c r="C392">
        <v>25339</v>
      </c>
    </row>
    <row r="393" spans="1:4" x14ac:dyDescent="0.25">
      <c r="A393" t="s">
        <v>921</v>
      </c>
      <c r="B393" t="s">
        <v>922</v>
      </c>
      <c r="C393">
        <v>25336</v>
      </c>
      <c r="D393" t="s">
        <v>211</v>
      </c>
    </row>
    <row r="394" spans="1:4" x14ac:dyDescent="0.25">
      <c r="A394" t="s">
        <v>923</v>
      </c>
      <c r="B394" t="s">
        <v>924</v>
      </c>
      <c r="C394">
        <v>24862</v>
      </c>
    </row>
    <row r="395" spans="1:4" x14ac:dyDescent="0.25">
      <c r="A395" t="s">
        <v>925</v>
      </c>
      <c r="B395" t="s">
        <v>926</v>
      </c>
      <c r="C395">
        <v>24321</v>
      </c>
    </row>
    <row r="396" spans="1:4" x14ac:dyDescent="0.25">
      <c r="A396" t="s">
        <v>927</v>
      </c>
      <c r="B396" t="s">
        <v>928</v>
      </c>
      <c r="C396">
        <v>47909</v>
      </c>
    </row>
    <row r="397" spans="1:4" x14ac:dyDescent="0.25">
      <c r="A397" t="s">
        <v>929</v>
      </c>
      <c r="B397" t="s">
        <v>930</v>
      </c>
      <c r="C397">
        <v>33939</v>
      </c>
    </row>
    <row r="398" spans="1:4" x14ac:dyDescent="0.25">
      <c r="A398" t="s">
        <v>931</v>
      </c>
      <c r="B398" t="s">
        <v>932</v>
      </c>
    </row>
    <row r="399" spans="1:4" x14ac:dyDescent="0.25">
      <c r="A399" t="s">
        <v>933</v>
      </c>
      <c r="B399" t="s">
        <v>934</v>
      </c>
      <c r="C399">
        <v>33940</v>
      </c>
      <c r="D399" t="s">
        <v>281</v>
      </c>
    </row>
    <row r="400" spans="1:4" x14ac:dyDescent="0.25">
      <c r="A400" t="s">
        <v>935</v>
      </c>
      <c r="B400" t="s">
        <v>936</v>
      </c>
      <c r="C400">
        <v>24863</v>
      </c>
    </row>
    <row r="401" spans="1:4" x14ac:dyDescent="0.25">
      <c r="A401" t="s">
        <v>937</v>
      </c>
      <c r="B401" t="s">
        <v>938</v>
      </c>
      <c r="C401">
        <v>41332</v>
      </c>
      <c r="D401" t="s">
        <v>267</v>
      </c>
    </row>
    <row r="402" spans="1:4" x14ac:dyDescent="0.25">
      <c r="A402" t="s">
        <v>939</v>
      </c>
      <c r="B402" t="s">
        <v>940</v>
      </c>
      <c r="C402">
        <v>25233</v>
      </c>
    </row>
    <row r="403" spans="1:4" x14ac:dyDescent="0.25">
      <c r="A403" t="s">
        <v>941</v>
      </c>
      <c r="B403" t="s">
        <v>942</v>
      </c>
      <c r="C403">
        <v>24980</v>
      </c>
    </row>
    <row r="404" spans="1:4" x14ac:dyDescent="0.25">
      <c r="A404" t="s">
        <v>943</v>
      </c>
      <c r="B404" t="s">
        <v>944</v>
      </c>
      <c r="C404">
        <v>48366</v>
      </c>
      <c r="D404" t="s">
        <v>252</v>
      </c>
    </row>
    <row r="405" spans="1:4" x14ac:dyDescent="0.25">
      <c r="A405" t="s">
        <v>945</v>
      </c>
      <c r="B405" t="s">
        <v>946</v>
      </c>
      <c r="C405">
        <v>24431</v>
      </c>
    </row>
    <row r="406" spans="1:4" x14ac:dyDescent="0.25">
      <c r="A406" t="s">
        <v>947</v>
      </c>
      <c r="B406" t="s">
        <v>948</v>
      </c>
      <c r="C406">
        <v>25601</v>
      </c>
    </row>
    <row r="407" spans="1:4" x14ac:dyDescent="0.25">
      <c r="A407" t="s">
        <v>949</v>
      </c>
      <c r="B407" t="s">
        <v>948</v>
      </c>
      <c r="C407">
        <v>24432</v>
      </c>
    </row>
    <row r="408" spans="1:4" x14ac:dyDescent="0.25">
      <c r="A408" t="s">
        <v>950</v>
      </c>
      <c r="B408" t="s">
        <v>951</v>
      </c>
      <c r="C408">
        <v>25602</v>
      </c>
    </row>
    <row r="409" spans="1:4" x14ac:dyDescent="0.25">
      <c r="A409" t="s">
        <v>952</v>
      </c>
      <c r="B409" t="s">
        <v>951</v>
      </c>
      <c r="C409">
        <v>24433</v>
      </c>
    </row>
    <row r="410" spans="1:4" x14ac:dyDescent="0.25">
      <c r="A410" t="s">
        <v>953</v>
      </c>
      <c r="B410" t="s">
        <v>954</v>
      </c>
      <c r="C410">
        <v>24434</v>
      </c>
    </row>
    <row r="411" spans="1:4" x14ac:dyDescent="0.25">
      <c r="A411" t="s">
        <v>955</v>
      </c>
      <c r="B411" t="s">
        <v>956</v>
      </c>
      <c r="C411">
        <v>24391</v>
      </c>
    </row>
    <row r="412" spans="1:4" x14ac:dyDescent="0.25">
      <c r="A412" t="s">
        <v>957</v>
      </c>
      <c r="B412" t="s">
        <v>958</v>
      </c>
      <c r="C412">
        <v>25580</v>
      </c>
    </row>
    <row r="413" spans="1:4" x14ac:dyDescent="0.25">
      <c r="A413" t="s">
        <v>959</v>
      </c>
      <c r="B413" t="s">
        <v>960</v>
      </c>
      <c r="C413">
        <v>47910</v>
      </c>
    </row>
    <row r="414" spans="1:4" x14ac:dyDescent="0.25">
      <c r="A414" t="s">
        <v>961</v>
      </c>
      <c r="B414" t="s">
        <v>962</v>
      </c>
      <c r="C414">
        <v>42311</v>
      </c>
    </row>
    <row r="415" spans="1:4" x14ac:dyDescent="0.25">
      <c r="A415" t="s">
        <v>963</v>
      </c>
      <c r="B415" t="s">
        <v>964</v>
      </c>
      <c r="C415">
        <v>24288</v>
      </c>
    </row>
    <row r="416" spans="1:4" x14ac:dyDescent="0.25">
      <c r="A416" t="s">
        <v>965</v>
      </c>
      <c r="B416" t="s">
        <v>966</v>
      </c>
      <c r="C416">
        <v>24289</v>
      </c>
    </row>
    <row r="417" spans="1:3" x14ac:dyDescent="0.25">
      <c r="A417" t="s">
        <v>967</v>
      </c>
      <c r="B417" t="s">
        <v>968</v>
      </c>
      <c r="C417">
        <v>24565</v>
      </c>
    </row>
    <row r="418" spans="1:3" x14ac:dyDescent="0.25">
      <c r="A418" t="s">
        <v>969</v>
      </c>
      <c r="B418" t="s">
        <v>970</v>
      </c>
      <c r="C418">
        <v>25756</v>
      </c>
    </row>
    <row r="419" spans="1:3" x14ac:dyDescent="0.25">
      <c r="A419" t="s">
        <v>971</v>
      </c>
      <c r="B419" t="s">
        <v>970</v>
      </c>
      <c r="C419">
        <v>24835</v>
      </c>
    </row>
    <row r="420" spans="1:3" x14ac:dyDescent="0.25">
      <c r="A420" t="s">
        <v>972</v>
      </c>
      <c r="B420" t="s">
        <v>970</v>
      </c>
      <c r="C420">
        <v>47911</v>
      </c>
    </row>
    <row r="421" spans="1:3" x14ac:dyDescent="0.25">
      <c r="A421" t="s">
        <v>973</v>
      </c>
      <c r="B421" t="s">
        <v>974</v>
      </c>
      <c r="C421">
        <v>25757</v>
      </c>
    </row>
    <row r="422" spans="1:3" x14ac:dyDescent="0.25">
      <c r="A422" t="s">
        <v>975</v>
      </c>
      <c r="B422" t="s">
        <v>974</v>
      </c>
      <c r="C422">
        <v>24836</v>
      </c>
    </row>
    <row r="423" spans="1:3" x14ac:dyDescent="0.25">
      <c r="A423" t="s">
        <v>976</v>
      </c>
      <c r="B423" t="s">
        <v>977</v>
      </c>
      <c r="C423">
        <v>24774</v>
      </c>
    </row>
    <row r="424" spans="1:3" x14ac:dyDescent="0.25">
      <c r="A424" t="s">
        <v>978</v>
      </c>
      <c r="B424" t="s">
        <v>979</v>
      </c>
      <c r="C424">
        <v>25581</v>
      </c>
    </row>
    <row r="425" spans="1:3" x14ac:dyDescent="0.25">
      <c r="A425" t="s">
        <v>980</v>
      </c>
      <c r="B425" t="s">
        <v>979</v>
      </c>
      <c r="C425">
        <v>24393</v>
      </c>
    </row>
    <row r="426" spans="1:3" x14ac:dyDescent="0.25">
      <c r="A426" t="s">
        <v>981</v>
      </c>
      <c r="B426" t="s">
        <v>982</v>
      </c>
      <c r="C426">
        <v>47912</v>
      </c>
    </row>
    <row r="427" spans="1:3" x14ac:dyDescent="0.25">
      <c r="A427" t="s">
        <v>983</v>
      </c>
      <c r="B427" t="s">
        <v>982</v>
      </c>
      <c r="C427">
        <v>47913</v>
      </c>
    </row>
    <row r="428" spans="1:3" x14ac:dyDescent="0.25">
      <c r="A428" t="s">
        <v>984</v>
      </c>
      <c r="B428" t="s">
        <v>982</v>
      </c>
      <c r="C428">
        <v>47914</v>
      </c>
    </row>
    <row r="429" spans="1:3" x14ac:dyDescent="0.25">
      <c r="A429" t="s">
        <v>985</v>
      </c>
      <c r="B429" t="s">
        <v>982</v>
      </c>
      <c r="C429">
        <v>47915</v>
      </c>
    </row>
    <row r="430" spans="1:3" x14ac:dyDescent="0.25">
      <c r="A430" t="s">
        <v>986</v>
      </c>
      <c r="B430" t="s">
        <v>987</v>
      </c>
      <c r="C430">
        <v>25675</v>
      </c>
    </row>
    <row r="431" spans="1:3" x14ac:dyDescent="0.25">
      <c r="A431" t="s">
        <v>988</v>
      </c>
      <c r="B431" t="s">
        <v>987</v>
      </c>
      <c r="C431">
        <v>24611</v>
      </c>
    </row>
    <row r="432" spans="1:3" x14ac:dyDescent="0.25">
      <c r="A432" t="s">
        <v>989</v>
      </c>
      <c r="B432" t="s">
        <v>987</v>
      </c>
      <c r="C432">
        <v>24612</v>
      </c>
    </row>
    <row r="433" spans="1:4" x14ac:dyDescent="0.25">
      <c r="A433" t="s">
        <v>990</v>
      </c>
      <c r="B433" t="s">
        <v>987</v>
      </c>
      <c r="C433">
        <v>24613</v>
      </c>
    </row>
    <row r="434" spans="1:4" x14ac:dyDescent="0.25">
      <c r="A434" t="s">
        <v>991</v>
      </c>
      <c r="B434" t="s">
        <v>992</v>
      </c>
      <c r="C434">
        <v>25676</v>
      </c>
    </row>
    <row r="435" spans="1:4" x14ac:dyDescent="0.25">
      <c r="A435" t="s">
        <v>993</v>
      </c>
      <c r="B435" t="s">
        <v>992</v>
      </c>
      <c r="C435">
        <v>24614</v>
      </c>
    </row>
    <row r="436" spans="1:4" x14ac:dyDescent="0.25">
      <c r="A436" t="s">
        <v>994</v>
      </c>
      <c r="B436" t="s">
        <v>995</v>
      </c>
      <c r="C436">
        <v>24615</v>
      </c>
    </row>
    <row r="437" spans="1:4" x14ac:dyDescent="0.25">
      <c r="A437" t="s">
        <v>996</v>
      </c>
      <c r="B437" t="s">
        <v>997</v>
      </c>
      <c r="C437">
        <v>24399</v>
      </c>
    </row>
    <row r="438" spans="1:4" x14ac:dyDescent="0.25">
      <c r="A438" t="s">
        <v>998</v>
      </c>
      <c r="B438" t="s">
        <v>999</v>
      </c>
      <c r="C438">
        <v>24214</v>
      </c>
    </row>
    <row r="439" spans="1:4" x14ac:dyDescent="0.25">
      <c r="A439" t="s">
        <v>1000</v>
      </c>
      <c r="B439" t="s">
        <v>999</v>
      </c>
      <c r="C439">
        <v>41321</v>
      </c>
      <c r="D439" t="s">
        <v>211</v>
      </c>
    </row>
    <row r="440" spans="1:4" x14ac:dyDescent="0.25">
      <c r="A440" t="s">
        <v>1001</v>
      </c>
      <c r="B440" t="s">
        <v>1002</v>
      </c>
      <c r="C440">
        <v>24566</v>
      </c>
    </row>
    <row r="441" spans="1:4" x14ac:dyDescent="0.25">
      <c r="A441" t="s">
        <v>1003</v>
      </c>
      <c r="B441" t="s">
        <v>1004</v>
      </c>
      <c r="C441">
        <v>24361</v>
      </c>
    </row>
    <row r="442" spans="1:4" x14ac:dyDescent="0.25">
      <c r="A442" t="s">
        <v>1005</v>
      </c>
      <c r="B442" t="s">
        <v>1006</v>
      </c>
      <c r="C442">
        <v>25568</v>
      </c>
    </row>
    <row r="443" spans="1:4" x14ac:dyDescent="0.25">
      <c r="A443" t="s">
        <v>1007</v>
      </c>
      <c r="B443" t="s">
        <v>1006</v>
      </c>
      <c r="C443">
        <v>47916</v>
      </c>
    </row>
    <row r="444" spans="1:4" x14ac:dyDescent="0.25">
      <c r="A444" t="s">
        <v>1008</v>
      </c>
      <c r="B444" t="s">
        <v>1006</v>
      </c>
      <c r="C444">
        <v>24362</v>
      </c>
    </row>
    <row r="445" spans="1:4" x14ac:dyDescent="0.25">
      <c r="A445" t="s">
        <v>1009</v>
      </c>
      <c r="B445" t="s">
        <v>1006</v>
      </c>
      <c r="C445">
        <v>24363</v>
      </c>
    </row>
    <row r="446" spans="1:4" x14ac:dyDescent="0.25">
      <c r="A446" t="s">
        <v>1010</v>
      </c>
      <c r="B446" t="s">
        <v>1011</v>
      </c>
      <c r="C446">
        <v>25569</v>
      </c>
    </row>
    <row r="447" spans="1:4" x14ac:dyDescent="0.25">
      <c r="A447" t="s">
        <v>1012</v>
      </c>
      <c r="B447" t="s">
        <v>1013</v>
      </c>
      <c r="C447">
        <v>24364</v>
      </c>
    </row>
    <row r="448" spans="1:4" x14ac:dyDescent="0.25">
      <c r="A448" t="s">
        <v>1014</v>
      </c>
      <c r="B448" t="s">
        <v>1015</v>
      </c>
      <c r="C448">
        <v>25570</v>
      </c>
    </row>
    <row r="449" spans="1:3" x14ac:dyDescent="0.25">
      <c r="A449" t="s">
        <v>1016</v>
      </c>
      <c r="B449" t="s">
        <v>1015</v>
      </c>
      <c r="C449">
        <v>24365</v>
      </c>
    </row>
    <row r="450" spans="1:3" x14ac:dyDescent="0.25">
      <c r="A450" t="s">
        <v>1017</v>
      </c>
      <c r="B450" t="s">
        <v>1018</v>
      </c>
      <c r="C450">
        <v>24416</v>
      </c>
    </row>
    <row r="451" spans="1:3" x14ac:dyDescent="0.25">
      <c r="A451" t="s">
        <v>1019</v>
      </c>
      <c r="B451" t="s">
        <v>1020</v>
      </c>
      <c r="C451">
        <v>25592</v>
      </c>
    </row>
    <row r="452" spans="1:3" x14ac:dyDescent="0.25">
      <c r="A452" t="s">
        <v>1021</v>
      </c>
      <c r="B452" t="s">
        <v>1020</v>
      </c>
      <c r="C452">
        <v>24417</v>
      </c>
    </row>
    <row r="453" spans="1:3" x14ac:dyDescent="0.25">
      <c r="A453" t="s">
        <v>1022</v>
      </c>
      <c r="B453" t="s">
        <v>1023</v>
      </c>
      <c r="C453">
        <v>25593</v>
      </c>
    </row>
    <row r="454" spans="1:3" x14ac:dyDescent="0.25">
      <c r="A454" t="s">
        <v>1024</v>
      </c>
      <c r="B454" t="s">
        <v>1025</v>
      </c>
      <c r="C454">
        <v>24418</v>
      </c>
    </row>
    <row r="455" spans="1:3" x14ac:dyDescent="0.25">
      <c r="A455" t="s">
        <v>1026</v>
      </c>
      <c r="B455" t="s">
        <v>1027</v>
      </c>
      <c r="C455">
        <v>24419</v>
      </c>
    </row>
    <row r="456" spans="1:3" x14ac:dyDescent="0.25">
      <c r="A456" t="s">
        <v>1028</v>
      </c>
      <c r="B456" t="s">
        <v>1029</v>
      </c>
      <c r="C456">
        <v>24671</v>
      </c>
    </row>
    <row r="457" spans="1:3" x14ac:dyDescent="0.25">
      <c r="A457" t="s">
        <v>1030</v>
      </c>
      <c r="B457" t="s">
        <v>1031</v>
      </c>
      <c r="C457">
        <v>25701</v>
      </c>
    </row>
    <row r="458" spans="1:3" x14ac:dyDescent="0.25">
      <c r="A458" t="s">
        <v>1032</v>
      </c>
      <c r="B458" t="s">
        <v>1031</v>
      </c>
      <c r="C458">
        <v>24673</v>
      </c>
    </row>
    <row r="459" spans="1:3" x14ac:dyDescent="0.25">
      <c r="A459" t="s">
        <v>1033</v>
      </c>
      <c r="B459" t="s">
        <v>1031</v>
      </c>
      <c r="C459">
        <v>24672</v>
      </c>
    </row>
    <row r="460" spans="1:3" x14ac:dyDescent="0.25">
      <c r="A460" t="s">
        <v>1034</v>
      </c>
      <c r="B460" t="s">
        <v>1035</v>
      </c>
      <c r="C460">
        <v>47917</v>
      </c>
    </row>
    <row r="461" spans="1:3" x14ac:dyDescent="0.25">
      <c r="A461" t="s">
        <v>1036</v>
      </c>
      <c r="B461" t="s">
        <v>1035</v>
      </c>
      <c r="C461">
        <v>47918</v>
      </c>
    </row>
    <row r="462" spans="1:3" x14ac:dyDescent="0.25">
      <c r="A462" t="s">
        <v>1037</v>
      </c>
      <c r="B462" t="s">
        <v>1038</v>
      </c>
      <c r="C462">
        <v>24420</v>
      </c>
    </row>
    <row r="463" spans="1:3" x14ac:dyDescent="0.25">
      <c r="A463" t="s">
        <v>1039</v>
      </c>
      <c r="B463" t="s">
        <v>1040</v>
      </c>
      <c r="C463">
        <v>25594</v>
      </c>
    </row>
    <row r="464" spans="1:3" x14ac:dyDescent="0.25">
      <c r="A464" t="s">
        <v>1041</v>
      </c>
      <c r="B464" t="s">
        <v>1040</v>
      </c>
      <c r="C464">
        <v>24421</v>
      </c>
    </row>
    <row r="465" spans="1:4" x14ac:dyDescent="0.25">
      <c r="A465" t="s">
        <v>1042</v>
      </c>
      <c r="B465" t="s">
        <v>1043</v>
      </c>
      <c r="C465">
        <v>25595</v>
      </c>
    </row>
    <row r="466" spans="1:4" x14ac:dyDescent="0.25">
      <c r="A466" t="s">
        <v>1044</v>
      </c>
      <c r="B466" t="s">
        <v>1045</v>
      </c>
      <c r="C466">
        <v>24422</v>
      </c>
    </row>
    <row r="467" spans="1:4" x14ac:dyDescent="0.25">
      <c r="A467" t="s">
        <v>1046</v>
      </c>
      <c r="B467" t="s">
        <v>1047</v>
      </c>
      <c r="C467">
        <v>24423</v>
      </c>
    </row>
    <row r="468" spans="1:4" x14ac:dyDescent="0.25">
      <c r="A468" t="s">
        <v>1048</v>
      </c>
      <c r="B468" t="s">
        <v>1049</v>
      </c>
      <c r="C468">
        <v>25596</v>
      </c>
    </row>
    <row r="469" spans="1:4" x14ac:dyDescent="0.25">
      <c r="A469" t="s">
        <v>1050</v>
      </c>
      <c r="B469" t="s">
        <v>1049</v>
      </c>
      <c r="C469">
        <v>24424</v>
      </c>
    </row>
    <row r="470" spans="1:4" x14ac:dyDescent="0.25">
      <c r="A470" t="s">
        <v>1051</v>
      </c>
      <c r="B470" t="s">
        <v>1052</v>
      </c>
      <c r="C470">
        <v>34019</v>
      </c>
      <c r="D470" t="s">
        <v>252</v>
      </c>
    </row>
    <row r="471" spans="1:4" x14ac:dyDescent="0.25">
      <c r="A471" t="s">
        <v>1053</v>
      </c>
      <c r="B471" t="s">
        <v>1054</v>
      </c>
      <c r="C471">
        <v>34020</v>
      </c>
      <c r="D471" t="s">
        <v>252</v>
      </c>
    </row>
    <row r="472" spans="1:4" x14ac:dyDescent="0.25">
      <c r="A472" t="s">
        <v>1055</v>
      </c>
      <c r="B472" t="s">
        <v>1056</v>
      </c>
      <c r="C472">
        <v>25456</v>
      </c>
    </row>
    <row r="473" spans="1:4" x14ac:dyDescent="0.25">
      <c r="A473" t="s">
        <v>1057</v>
      </c>
      <c r="B473" t="s">
        <v>1056</v>
      </c>
      <c r="C473">
        <v>24919</v>
      </c>
    </row>
    <row r="474" spans="1:4" x14ac:dyDescent="0.25">
      <c r="A474" t="s">
        <v>1058</v>
      </c>
      <c r="B474" t="s">
        <v>1056</v>
      </c>
      <c r="C474">
        <v>24920</v>
      </c>
    </row>
    <row r="475" spans="1:4" x14ac:dyDescent="0.25">
      <c r="A475" t="s">
        <v>1059</v>
      </c>
      <c r="B475" t="s">
        <v>1056</v>
      </c>
      <c r="C475">
        <v>24918</v>
      </c>
    </row>
    <row r="476" spans="1:4" x14ac:dyDescent="0.25">
      <c r="A476" t="s">
        <v>1060</v>
      </c>
      <c r="B476" t="s">
        <v>1056</v>
      </c>
      <c r="C476">
        <v>24921</v>
      </c>
    </row>
    <row r="477" spans="1:4" x14ac:dyDescent="0.25">
      <c r="A477" t="s">
        <v>1061</v>
      </c>
      <c r="B477" t="s">
        <v>1062</v>
      </c>
      <c r="C477">
        <v>24759</v>
      </c>
    </row>
    <row r="478" spans="1:4" x14ac:dyDescent="0.25">
      <c r="A478" t="s">
        <v>1063</v>
      </c>
      <c r="B478" t="s">
        <v>1064</v>
      </c>
      <c r="C478">
        <v>25397</v>
      </c>
    </row>
    <row r="479" spans="1:4" x14ac:dyDescent="0.25">
      <c r="A479" t="s">
        <v>1065</v>
      </c>
      <c r="B479" t="s">
        <v>1066</v>
      </c>
      <c r="C479">
        <v>42302</v>
      </c>
    </row>
    <row r="480" spans="1:4" x14ac:dyDescent="0.25">
      <c r="A480" t="s">
        <v>1067</v>
      </c>
      <c r="B480" t="s">
        <v>1068</v>
      </c>
      <c r="C480">
        <v>41395</v>
      </c>
      <c r="D480" t="s">
        <v>231</v>
      </c>
    </row>
    <row r="481" spans="1:4" x14ac:dyDescent="0.25">
      <c r="A481" t="s">
        <v>1069</v>
      </c>
      <c r="B481" t="s">
        <v>1070</v>
      </c>
      <c r="C481">
        <v>25398</v>
      </c>
    </row>
    <row r="482" spans="1:4" x14ac:dyDescent="0.25">
      <c r="A482" t="s">
        <v>1071</v>
      </c>
      <c r="B482" t="s">
        <v>1072</v>
      </c>
      <c r="C482">
        <v>25399</v>
      </c>
    </row>
    <row r="483" spans="1:4" x14ac:dyDescent="0.25">
      <c r="A483" t="s">
        <v>1073</v>
      </c>
      <c r="B483" t="s">
        <v>1074</v>
      </c>
      <c r="C483">
        <v>25400</v>
      </c>
    </row>
    <row r="484" spans="1:4" x14ac:dyDescent="0.25">
      <c r="A484" t="s">
        <v>1075</v>
      </c>
      <c r="B484" t="s">
        <v>1076</v>
      </c>
      <c r="C484">
        <v>25401</v>
      </c>
    </row>
    <row r="485" spans="1:4" x14ac:dyDescent="0.25">
      <c r="A485" t="s">
        <v>1077</v>
      </c>
      <c r="B485" t="s">
        <v>1078</v>
      </c>
      <c r="C485">
        <v>25402</v>
      </c>
    </row>
    <row r="486" spans="1:4" x14ac:dyDescent="0.25">
      <c r="A486" t="s">
        <v>1079</v>
      </c>
      <c r="B486" t="s">
        <v>1080</v>
      </c>
      <c r="C486">
        <v>34067</v>
      </c>
      <c r="D486" t="s">
        <v>408</v>
      </c>
    </row>
    <row r="487" spans="1:4" x14ac:dyDescent="0.25">
      <c r="A487" t="s">
        <v>1081</v>
      </c>
      <c r="B487" t="s">
        <v>1082</v>
      </c>
      <c r="C487">
        <v>34068</v>
      </c>
      <c r="D487" t="s">
        <v>281</v>
      </c>
    </row>
    <row r="488" spans="1:4" x14ac:dyDescent="0.25">
      <c r="A488" t="s">
        <v>1083</v>
      </c>
      <c r="B488" t="s">
        <v>1080</v>
      </c>
      <c r="C488">
        <v>34069</v>
      </c>
      <c r="D488" t="s">
        <v>281</v>
      </c>
    </row>
    <row r="489" spans="1:4" x14ac:dyDescent="0.25">
      <c r="A489" t="s">
        <v>1084</v>
      </c>
      <c r="B489" t="s">
        <v>1085</v>
      </c>
      <c r="C489">
        <v>34070</v>
      </c>
      <c r="D489" t="s">
        <v>408</v>
      </c>
    </row>
    <row r="490" spans="1:4" x14ac:dyDescent="0.25">
      <c r="A490" t="s">
        <v>1086</v>
      </c>
      <c r="B490" t="s">
        <v>1080</v>
      </c>
      <c r="C490">
        <v>34071</v>
      </c>
      <c r="D490" t="s">
        <v>281</v>
      </c>
    </row>
    <row r="491" spans="1:4" x14ac:dyDescent="0.25">
      <c r="A491" t="s">
        <v>1087</v>
      </c>
      <c r="B491" t="s">
        <v>1080</v>
      </c>
      <c r="C491">
        <v>34072</v>
      </c>
      <c r="D491" t="s">
        <v>281</v>
      </c>
    </row>
    <row r="492" spans="1:4" x14ac:dyDescent="0.25">
      <c r="A492" t="s">
        <v>1088</v>
      </c>
      <c r="B492" t="s">
        <v>1089</v>
      </c>
      <c r="C492">
        <v>34073</v>
      </c>
      <c r="D492" t="s">
        <v>281</v>
      </c>
    </row>
    <row r="493" spans="1:4" x14ac:dyDescent="0.25">
      <c r="A493" t="s">
        <v>1090</v>
      </c>
      <c r="B493" t="s">
        <v>1080</v>
      </c>
      <c r="C493">
        <v>34074</v>
      </c>
      <c r="D493" t="s">
        <v>281</v>
      </c>
    </row>
    <row r="494" spans="1:4" x14ac:dyDescent="0.25">
      <c r="A494" t="s">
        <v>1091</v>
      </c>
      <c r="B494" t="s">
        <v>1080</v>
      </c>
      <c r="C494">
        <v>34075</v>
      </c>
      <c r="D494" t="s">
        <v>281</v>
      </c>
    </row>
    <row r="495" spans="1:4" x14ac:dyDescent="0.25">
      <c r="A495" t="s">
        <v>1092</v>
      </c>
      <c r="B495" t="s">
        <v>1093</v>
      </c>
      <c r="C495">
        <v>34076</v>
      </c>
      <c r="D495" t="s">
        <v>408</v>
      </c>
    </row>
    <row r="496" spans="1:4" x14ac:dyDescent="0.25">
      <c r="A496" t="s">
        <v>1094</v>
      </c>
      <c r="B496" t="s">
        <v>1095</v>
      </c>
      <c r="C496">
        <v>24858</v>
      </c>
      <c r="D496" t="s">
        <v>491</v>
      </c>
    </row>
    <row r="497" spans="1:4" x14ac:dyDescent="0.25">
      <c r="A497" t="s">
        <v>1096</v>
      </c>
      <c r="B497" t="s">
        <v>1097</v>
      </c>
      <c r="C497">
        <v>24859</v>
      </c>
      <c r="D497" t="s">
        <v>491</v>
      </c>
    </row>
    <row r="498" spans="1:4" x14ac:dyDescent="0.25">
      <c r="A498" t="s">
        <v>1098</v>
      </c>
      <c r="B498" t="s">
        <v>1099</v>
      </c>
      <c r="C498">
        <v>24864</v>
      </c>
      <c r="D498" t="s">
        <v>319</v>
      </c>
    </row>
    <row r="499" spans="1:4" x14ac:dyDescent="0.25">
      <c r="A499" t="s">
        <v>1100</v>
      </c>
      <c r="C499">
        <v>30886</v>
      </c>
    </row>
    <row r="500" spans="1:4" x14ac:dyDescent="0.25">
      <c r="A500" t="s">
        <v>1101</v>
      </c>
      <c r="C500">
        <v>30893</v>
      </c>
    </row>
    <row r="501" spans="1:4" x14ac:dyDescent="0.25">
      <c r="A501" t="s">
        <v>1102</v>
      </c>
      <c r="C501">
        <v>30887</v>
      </c>
    </row>
    <row r="502" spans="1:4" x14ac:dyDescent="0.25">
      <c r="A502" t="s">
        <v>1103</v>
      </c>
      <c r="C502">
        <v>30885</v>
      </c>
    </row>
    <row r="503" spans="1:4" x14ac:dyDescent="0.25">
      <c r="A503" t="s">
        <v>1104</v>
      </c>
      <c r="C503">
        <v>25019</v>
      </c>
    </row>
    <row r="504" spans="1:4" x14ac:dyDescent="0.25">
      <c r="A504" t="s">
        <v>1105</v>
      </c>
      <c r="C504">
        <v>42383</v>
      </c>
    </row>
    <row r="505" spans="1:4" x14ac:dyDescent="0.25">
      <c r="A505" t="s">
        <v>1106</v>
      </c>
      <c r="C505">
        <v>25020</v>
      </c>
    </row>
    <row r="506" spans="1:4" x14ac:dyDescent="0.25">
      <c r="A506" t="s">
        <v>1107</v>
      </c>
      <c r="C506">
        <v>30889</v>
      </c>
    </row>
    <row r="507" spans="1:4" x14ac:dyDescent="0.25">
      <c r="A507" t="s">
        <v>1108</v>
      </c>
      <c r="C507">
        <v>30888</v>
      </c>
    </row>
    <row r="508" spans="1:4" x14ac:dyDescent="0.25">
      <c r="A508" t="s">
        <v>1109</v>
      </c>
      <c r="C508">
        <v>30890</v>
      </c>
    </row>
    <row r="509" spans="1:4" x14ac:dyDescent="0.25">
      <c r="A509" t="s">
        <v>1110</v>
      </c>
      <c r="C509">
        <v>30891</v>
      </c>
    </row>
    <row r="510" spans="1:4" x14ac:dyDescent="0.25">
      <c r="A510" t="s">
        <v>1111</v>
      </c>
      <c r="C510">
        <v>30892</v>
      </c>
    </row>
    <row r="511" spans="1:4" x14ac:dyDescent="0.25">
      <c r="A511" t="s">
        <v>1112</v>
      </c>
      <c r="B511" t="s">
        <v>1113</v>
      </c>
      <c r="C511">
        <v>25291</v>
      </c>
    </row>
    <row r="512" spans="1:4" x14ac:dyDescent="0.25">
      <c r="A512" t="s">
        <v>1114</v>
      </c>
      <c r="B512" t="s">
        <v>1115</v>
      </c>
      <c r="C512">
        <v>30899</v>
      </c>
    </row>
    <row r="513" spans="1:3" x14ac:dyDescent="0.25">
      <c r="A513" t="s">
        <v>1116</v>
      </c>
      <c r="B513" t="s">
        <v>1117</v>
      </c>
      <c r="C513">
        <v>42384</v>
      </c>
    </row>
    <row r="514" spans="1:3" x14ac:dyDescent="0.25">
      <c r="A514" t="s">
        <v>1118</v>
      </c>
      <c r="B514" t="s">
        <v>1119</v>
      </c>
      <c r="C514">
        <v>25458</v>
      </c>
    </row>
    <row r="515" spans="1:3" x14ac:dyDescent="0.25">
      <c r="A515" t="s">
        <v>1120</v>
      </c>
      <c r="B515" t="s">
        <v>1119</v>
      </c>
      <c r="C515">
        <v>24865</v>
      </c>
    </row>
    <row r="516" spans="1:3" x14ac:dyDescent="0.25">
      <c r="A516" t="s">
        <v>1121</v>
      </c>
      <c r="B516" t="s">
        <v>1119</v>
      </c>
      <c r="C516">
        <v>24866</v>
      </c>
    </row>
    <row r="517" spans="1:3" x14ac:dyDescent="0.25">
      <c r="A517" t="s">
        <v>1122</v>
      </c>
      <c r="B517" t="s">
        <v>1119</v>
      </c>
      <c r="C517">
        <v>24867</v>
      </c>
    </row>
    <row r="518" spans="1:3" x14ac:dyDescent="0.25">
      <c r="A518" t="s">
        <v>1123</v>
      </c>
      <c r="B518" t="s">
        <v>1119</v>
      </c>
      <c r="C518">
        <v>24870</v>
      </c>
    </row>
    <row r="519" spans="1:3" x14ac:dyDescent="0.25">
      <c r="A519" t="s">
        <v>1124</v>
      </c>
      <c r="B519" t="s">
        <v>1119</v>
      </c>
      <c r="C519">
        <v>24869</v>
      </c>
    </row>
    <row r="520" spans="1:3" x14ac:dyDescent="0.25">
      <c r="A520" t="s">
        <v>1125</v>
      </c>
      <c r="B520" t="s">
        <v>1126</v>
      </c>
      <c r="C520">
        <v>42385</v>
      </c>
    </row>
    <row r="521" spans="1:3" x14ac:dyDescent="0.25">
      <c r="A521" t="s">
        <v>1127</v>
      </c>
      <c r="B521" t="s">
        <v>1128</v>
      </c>
      <c r="C521">
        <v>24868</v>
      </c>
    </row>
    <row r="522" spans="1:3" x14ac:dyDescent="0.25">
      <c r="A522" t="s">
        <v>1129</v>
      </c>
      <c r="B522" t="s">
        <v>1130</v>
      </c>
      <c r="C522">
        <v>24871</v>
      </c>
    </row>
    <row r="523" spans="1:3" x14ac:dyDescent="0.25">
      <c r="A523" t="s">
        <v>1131</v>
      </c>
      <c r="B523" t="s">
        <v>1132</v>
      </c>
      <c r="C523">
        <v>24872</v>
      </c>
    </row>
    <row r="524" spans="1:3" x14ac:dyDescent="0.25">
      <c r="A524" t="s">
        <v>1133</v>
      </c>
      <c r="B524" t="s">
        <v>1134</v>
      </c>
      <c r="C524">
        <v>24873</v>
      </c>
    </row>
    <row r="525" spans="1:3" x14ac:dyDescent="0.25">
      <c r="A525" t="s">
        <v>1135</v>
      </c>
      <c r="B525" t="s">
        <v>1136</v>
      </c>
      <c r="C525">
        <v>25459</v>
      </c>
    </row>
    <row r="526" spans="1:3" x14ac:dyDescent="0.25">
      <c r="A526" t="s">
        <v>1137</v>
      </c>
      <c r="B526" t="s">
        <v>1138</v>
      </c>
      <c r="C526">
        <v>24874</v>
      </c>
    </row>
    <row r="527" spans="1:3" x14ac:dyDescent="0.25">
      <c r="A527" t="s">
        <v>1139</v>
      </c>
      <c r="B527" t="s">
        <v>1140</v>
      </c>
      <c r="C527">
        <v>24875</v>
      </c>
    </row>
    <row r="528" spans="1:3" x14ac:dyDescent="0.25">
      <c r="A528" t="s">
        <v>1141</v>
      </c>
      <c r="B528" t="s">
        <v>1136</v>
      </c>
      <c r="C528">
        <v>24876</v>
      </c>
    </row>
    <row r="529" spans="1:4" x14ac:dyDescent="0.25">
      <c r="A529" t="s">
        <v>1142</v>
      </c>
      <c r="B529" t="s">
        <v>1143</v>
      </c>
      <c r="C529">
        <v>25460</v>
      </c>
    </row>
    <row r="530" spans="1:4" x14ac:dyDescent="0.25">
      <c r="A530" t="s">
        <v>1144</v>
      </c>
      <c r="B530" t="s">
        <v>1143</v>
      </c>
      <c r="C530">
        <v>24877</v>
      </c>
    </row>
    <row r="531" spans="1:4" x14ac:dyDescent="0.25">
      <c r="A531" t="s">
        <v>1145</v>
      </c>
      <c r="B531" t="s">
        <v>1143</v>
      </c>
      <c r="C531">
        <v>24878</v>
      </c>
    </row>
    <row r="532" spans="1:4" x14ac:dyDescent="0.25">
      <c r="A532" t="s">
        <v>1146</v>
      </c>
      <c r="B532" t="s">
        <v>1143</v>
      </c>
      <c r="C532">
        <v>24879</v>
      </c>
    </row>
    <row r="533" spans="1:4" x14ac:dyDescent="0.25">
      <c r="A533" t="s">
        <v>1147</v>
      </c>
      <c r="B533" t="s">
        <v>1143</v>
      </c>
      <c r="C533">
        <v>24881</v>
      </c>
    </row>
    <row r="534" spans="1:4" x14ac:dyDescent="0.25">
      <c r="A534" t="s">
        <v>1148</v>
      </c>
      <c r="B534" t="s">
        <v>1149</v>
      </c>
      <c r="C534">
        <v>24880</v>
      </c>
    </row>
    <row r="535" spans="1:4" x14ac:dyDescent="0.25">
      <c r="A535" t="s">
        <v>1150</v>
      </c>
      <c r="B535" t="s">
        <v>1151</v>
      </c>
      <c r="C535">
        <v>30898</v>
      </c>
      <c r="D535" t="s">
        <v>319</v>
      </c>
    </row>
    <row r="536" spans="1:4" x14ac:dyDescent="0.25">
      <c r="A536" t="s">
        <v>1152</v>
      </c>
      <c r="B536" t="s">
        <v>1153</v>
      </c>
      <c r="C536">
        <v>24882</v>
      </c>
    </row>
    <row r="537" spans="1:4" x14ac:dyDescent="0.25">
      <c r="A537" t="s">
        <v>1154</v>
      </c>
      <c r="B537" t="s">
        <v>1155</v>
      </c>
      <c r="C537">
        <v>24883</v>
      </c>
    </row>
    <row r="538" spans="1:4" x14ac:dyDescent="0.25">
      <c r="A538" t="s">
        <v>1156</v>
      </c>
      <c r="B538" t="s">
        <v>1157</v>
      </c>
      <c r="C538">
        <v>30897</v>
      </c>
    </row>
    <row r="539" spans="1:4" x14ac:dyDescent="0.25">
      <c r="A539" t="s">
        <v>1158</v>
      </c>
      <c r="B539" t="s">
        <v>1159</v>
      </c>
      <c r="C539">
        <v>24884</v>
      </c>
    </row>
    <row r="540" spans="1:4" x14ac:dyDescent="0.25">
      <c r="A540" t="s">
        <v>1160</v>
      </c>
      <c r="B540" t="s">
        <v>1161</v>
      </c>
      <c r="C540">
        <v>24886</v>
      </c>
    </row>
    <row r="541" spans="1:4" x14ac:dyDescent="0.25">
      <c r="A541" t="s">
        <v>1162</v>
      </c>
      <c r="B541" t="s">
        <v>1163</v>
      </c>
      <c r="C541">
        <v>24885</v>
      </c>
    </row>
    <row r="542" spans="1:4" x14ac:dyDescent="0.25">
      <c r="A542" t="s">
        <v>1164</v>
      </c>
      <c r="B542" t="s">
        <v>1165</v>
      </c>
      <c r="C542">
        <v>24887</v>
      </c>
    </row>
    <row r="543" spans="1:4" x14ac:dyDescent="0.25">
      <c r="A543" t="s">
        <v>1166</v>
      </c>
      <c r="B543" t="s">
        <v>1167</v>
      </c>
      <c r="C543">
        <v>24888</v>
      </c>
    </row>
    <row r="544" spans="1:4" x14ac:dyDescent="0.25">
      <c r="A544" t="s">
        <v>1168</v>
      </c>
      <c r="B544" t="s">
        <v>1169</v>
      </c>
      <c r="C544">
        <v>24889</v>
      </c>
    </row>
    <row r="545" spans="1:4" x14ac:dyDescent="0.25">
      <c r="A545" t="s">
        <v>1170</v>
      </c>
      <c r="B545" t="s">
        <v>1171</v>
      </c>
      <c r="C545">
        <v>24890</v>
      </c>
      <c r="D545" t="s">
        <v>211</v>
      </c>
    </row>
    <row r="546" spans="1:4" x14ac:dyDescent="0.25">
      <c r="A546" t="s">
        <v>1172</v>
      </c>
      <c r="C546">
        <v>25022</v>
      </c>
    </row>
    <row r="547" spans="1:4" x14ac:dyDescent="0.25">
      <c r="A547" t="s">
        <v>1173</v>
      </c>
      <c r="C547">
        <v>25023</v>
      </c>
    </row>
    <row r="548" spans="1:4" x14ac:dyDescent="0.25">
      <c r="A548" t="s">
        <v>1174</v>
      </c>
      <c r="B548" t="s">
        <v>1175</v>
      </c>
      <c r="C548">
        <v>25024</v>
      </c>
      <c r="D548" t="s">
        <v>231</v>
      </c>
    </row>
    <row r="549" spans="1:4" x14ac:dyDescent="0.25">
      <c r="A549" t="s">
        <v>1176</v>
      </c>
      <c r="C549">
        <v>25025</v>
      </c>
    </row>
    <row r="550" spans="1:4" x14ac:dyDescent="0.25">
      <c r="A550" t="s">
        <v>1177</v>
      </c>
      <c r="C550">
        <v>25026</v>
      </c>
    </row>
    <row r="551" spans="1:4" x14ac:dyDescent="0.25">
      <c r="A551" t="s">
        <v>1178</v>
      </c>
      <c r="C551">
        <v>25027</v>
      </c>
    </row>
    <row r="552" spans="1:4" x14ac:dyDescent="0.25">
      <c r="A552" t="s">
        <v>1179</v>
      </c>
      <c r="C552">
        <v>25461</v>
      </c>
    </row>
    <row r="553" spans="1:4" x14ac:dyDescent="0.25">
      <c r="A553" t="s">
        <v>1180</v>
      </c>
      <c r="C553">
        <v>25030</v>
      </c>
    </row>
    <row r="554" spans="1:4" x14ac:dyDescent="0.25">
      <c r="A554" t="s">
        <v>1181</v>
      </c>
      <c r="C554">
        <v>25032</v>
      </c>
    </row>
    <row r="555" spans="1:4" x14ac:dyDescent="0.25">
      <c r="A555" t="s">
        <v>1182</v>
      </c>
      <c r="C555">
        <v>25031</v>
      </c>
    </row>
    <row r="556" spans="1:4" x14ac:dyDescent="0.25">
      <c r="A556" t="s">
        <v>1183</v>
      </c>
      <c r="C556">
        <v>25033</v>
      </c>
    </row>
    <row r="557" spans="1:4" x14ac:dyDescent="0.25">
      <c r="A557" t="s">
        <v>1184</v>
      </c>
      <c r="C557">
        <v>25034</v>
      </c>
    </row>
    <row r="558" spans="1:4" x14ac:dyDescent="0.25">
      <c r="A558" t="s">
        <v>1185</v>
      </c>
      <c r="B558" t="s">
        <v>1186</v>
      </c>
      <c r="C558">
        <v>42386</v>
      </c>
    </row>
    <row r="559" spans="1:4" x14ac:dyDescent="0.25">
      <c r="A559" t="s">
        <v>1187</v>
      </c>
      <c r="B559" t="s">
        <v>1188</v>
      </c>
      <c r="C559">
        <v>42387</v>
      </c>
      <c r="D559" t="s">
        <v>252</v>
      </c>
    </row>
    <row r="560" spans="1:4" x14ac:dyDescent="0.25">
      <c r="A560" t="s">
        <v>1189</v>
      </c>
      <c r="B560" t="s">
        <v>1190</v>
      </c>
      <c r="C560">
        <v>25035</v>
      </c>
      <c r="D560" t="s">
        <v>278</v>
      </c>
    </row>
    <row r="561" spans="1:4" x14ac:dyDescent="0.25">
      <c r="A561" t="s">
        <v>1191</v>
      </c>
      <c r="C561">
        <v>25036</v>
      </c>
    </row>
    <row r="562" spans="1:4" x14ac:dyDescent="0.25">
      <c r="A562" t="s">
        <v>1192</v>
      </c>
      <c r="C562">
        <v>25037</v>
      </c>
    </row>
    <row r="563" spans="1:4" x14ac:dyDescent="0.25">
      <c r="A563" t="s">
        <v>1193</v>
      </c>
      <c r="C563">
        <v>25038</v>
      </c>
    </row>
    <row r="564" spans="1:4" x14ac:dyDescent="0.25">
      <c r="A564" t="s">
        <v>1194</v>
      </c>
      <c r="C564">
        <v>30823</v>
      </c>
    </row>
    <row r="565" spans="1:4" x14ac:dyDescent="0.25">
      <c r="A565" t="s">
        <v>1195</v>
      </c>
      <c r="C565">
        <v>25039</v>
      </c>
    </row>
    <row r="566" spans="1:4" x14ac:dyDescent="0.25">
      <c r="A566" t="s">
        <v>1196</v>
      </c>
      <c r="B566" t="s">
        <v>1197</v>
      </c>
      <c r="C566">
        <v>25040</v>
      </c>
    </row>
    <row r="567" spans="1:4" x14ac:dyDescent="0.25">
      <c r="A567" t="s">
        <v>1198</v>
      </c>
      <c r="B567" t="s">
        <v>1199</v>
      </c>
      <c r="C567">
        <v>48370</v>
      </c>
      <c r="D567" t="s">
        <v>231</v>
      </c>
    </row>
    <row r="568" spans="1:4" x14ac:dyDescent="0.25">
      <c r="A568" t="s">
        <v>1200</v>
      </c>
      <c r="B568" t="s">
        <v>1201</v>
      </c>
      <c r="C568">
        <v>41334</v>
      </c>
      <c r="D568" t="s">
        <v>231</v>
      </c>
    </row>
    <row r="569" spans="1:4" x14ac:dyDescent="0.25">
      <c r="A569" t="s">
        <v>1202</v>
      </c>
      <c r="C569">
        <v>25462</v>
      </c>
    </row>
    <row r="570" spans="1:4" x14ac:dyDescent="0.25">
      <c r="A570" t="s">
        <v>1203</v>
      </c>
      <c r="C570">
        <v>25041</v>
      </c>
    </row>
    <row r="571" spans="1:4" x14ac:dyDescent="0.25">
      <c r="A571" t="s">
        <v>1204</v>
      </c>
      <c r="C571">
        <v>25043</v>
      </c>
    </row>
    <row r="572" spans="1:4" x14ac:dyDescent="0.25">
      <c r="A572" t="s">
        <v>1205</v>
      </c>
      <c r="C572">
        <v>25042</v>
      </c>
    </row>
    <row r="573" spans="1:4" x14ac:dyDescent="0.25">
      <c r="A573" t="s">
        <v>1206</v>
      </c>
      <c r="B573" t="s">
        <v>1207</v>
      </c>
      <c r="C573">
        <v>41396</v>
      </c>
    </row>
    <row r="574" spans="1:4" x14ac:dyDescent="0.25">
      <c r="A574" t="s">
        <v>1208</v>
      </c>
      <c r="C574">
        <v>25044</v>
      </c>
    </row>
    <row r="575" spans="1:4" x14ac:dyDescent="0.25">
      <c r="A575" t="s">
        <v>1209</v>
      </c>
      <c r="C575">
        <v>25045</v>
      </c>
    </row>
    <row r="576" spans="1:4" x14ac:dyDescent="0.25">
      <c r="A576" t="s">
        <v>1210</v>
      </c>
      <c r="C576">
        <v>25046</v>
      </c>
    </row>
    <row r="577" spans="1:4" x14ac:dyDescent="0.25">
      <c r="A577" t="s">
        <v>1211</v>
      </c>
      <c r="C577">
        <v>25047</v>
      </c>
    </row>
    <row r="578" spans="1:4" x14ac:dyDescent="0.25">
      <c r="A578" t="s">
        <v>1212</v>
      </c>
      <c r="C578">
        <v>25048</v>
      </c>
    </row>
    <row r="579" spans="1:4" x14ac:dyDescent="0.25">
      <c r="A579" t="s">
        <v>1213</v>
      </c>
      <c r="C579">
        <v>25049</v>
      </c>
    </row>
    <row r="580" spans="1:4" x14ac:dyDescent="0.25">
      <c r="A580" t="s">
        <v>1214</v>
      </c>
      <c r="B580" t="s">
        <v>1215</v>
      </c>
      <c r="C580">
        <v>25051</v>
      </c>
      <c r="D580" t="s">
        <v>211</v>
      </c>
    </row>
    <row r="581" spans="1:4" x14ac:dyDescent="0.25">
      <c r="A581" t="s">
        <v>1216</v>
      </c>
      <c r="C581">
        <v>25050</v>
      </c>
    </row>
    <row r="582" spans="1:4" x14ac:dyDescent="0.25">
      <c r="A582" t="s">
        <v>1217</v>
      </c>
      <c r="C582">
        <v>25052</v>
      </c>
    </row>
    <row r="583" spans="1:4" x14ac:dyDescent="0.25">
      <c r="A583" t="s">
        <v>1218</v>
      </c>
      <c r="C583">
        <v>25053</v>
      </c>
    </row>
    <row r="584" spans="1:4" x14ac:dyDescent="0.25">
      <c r="A584" t="s">
        <v>1219</v>
      </c>
      <c r="C584">
        <v>25056</v>
      </c>
    </row>
    <row r="585" spans="1:4" x14ac:dyDescent="0.25">
      <c r="A585" t="s">
        <v>1220</v>
      </c>
      <c r="B585" t="s">
        <v>1221</v>
      </c>
      <c r="C585">
        <v>41397</v>
      </c>
    </row>
    <row r="586" spans="1:4" x14ac:dyDescent="0.25">
      <c r="A586" t="s">
        <v>1222</v>
      </c>
      <c r="C586">
        <v>25055</v>
      </c>
    </row>
    <row r="587" spans="1:4" x14ac:dyDescent="0.25">
      <c r="A587" t="s">
        <v>1223</v>
      </c>
      <c r="C587">
        <v>25054</v>
      </c>
    </row>
    <row r="588" spans="1:4" x14ac:dyDescent="0.25">
      <c r="A588" t="s">
        <v>1224</v>
      </c>
      <c r="C588">
        <v>25057</v>
      </c>
    </row>
    <row r="589" spans="1:4" x14ac:dyDescent="0.25">
      <c r="A589" t="s">
        <v>1225</v>
      </c>
      <c r="B589" t="s">
        <v>1226</v>
      </c>
      <c r="C589">
        <v>25058</v>
      </c>
      <c r="D589" t="s">
        <v>319</v>
      </c>
    </row>
    <row r="590" spans="1:4" x14ac:dyDescent="0.25">
      <c r="A590" t="s">
        <v>1227</v>
      </c>
      <c r="B590" t="s">
        <v>1228</v>
      </c>
      <c r="C590">
        <v>41641</v>
      </c>
      <c r="D590" t="s">
        <v>231</v>
      </c>
    </row>
    <row r="591" spans="1:4" x14ac:dyDescent="0.25">
      <c r="A591" t="s">
        <v>1229</v>
      </c>
      <c r="C591">
        <v>25059</v>
      </c>
    </row>
    <row r="592" spans="1:4" x14ac:dyDescent="0.25">
      <c r="A592" t="s">
        <v>1230</v>
      </c>
      <c r="C592">
        <v>25063</v>
      </c>
    </row>
    <row r="593" spans="1:3" x14ac:dyDescent="0.25">
      <c r="A593" t="s">
        <v>1231</v>
      </c>
      <c r="B593" t="s">
        <v>1232</v>
      </c>
      <c r="C593">
        <v>25463</v>
      </c>
    </row>
    <row r="594" spans="1:3" x14ac:dyDescent="0.25">
      <c r="A594" t="s">
        <v>1233</v>
      </c>
      <c r="B594" t="s">
        <v>1232</v>
      </c>
      <c r="C594">
        <v>25060</v>
      </c>
    </row>
    <row r="595" spans="1:3" x14ac:dyDescent="0.25">
      <c r="A595" t="s">
        <v>1234</v>
      </c>
      <c r="B595" t="s">
        <v>1232</v>
      </c>
      <c r="C595">
        <v>25061</v>
      </c>
    </row>
    <row r="596" spans="1:3" x14ac:dyDescent="0.25">
      <c r="A596" t="s">
        <v>1235</v>
      </c>
      <c r="B596" t="s">
        <v>1232</v>
      </c>
      <c r="C596">
        <v>25064</v>
      </c>
    </row>
    <row r="597" spans="1:3" x14ac:dyDescent="0.25">
      <c r="A597" t="s">
        <v>1236</v>
      </c>
      <c r="B597" t="s">
        <v>1232</v>
      </c>
      <c r="C597">
        <v>25065</v>
      </c>
    </row>
    <row r="598" spans="1:3" x14ac:dyDescent="0.25">
      <c r="A598" t="s">
        <v>1237</v>
      </c>
      <c r="C598">
        <v>25062</v>
      </c>
    </row>
    <row r="599" spans="1:3" x14ac:dyDescent="0.25">
      <c r="A599" t="s">
        <v>1238</v>
      </c>
      <c r="C599">
        <v>25066</v>
      </c>
    </row>
    <row r="600" spans="1:3" x14ac:dyDescent="0.25">
      <c r="A600" t="s">
        <v>1239</v>
      </c>
      <c r="C600">
        <v>25067</v>
      </c>
    </row>
    <row r="601" spans="1:3" x14ac:dyDescent="0.25">
      <c r="A601" t="s">
        <v>1240</v>
      </c>
      <c r="C601">
        <v>30826</v>
      </c>
    </row>
    <row r="602" spans="1:3" x14ac:dyDescent="0.25">
      <c r="A602" t="s">
        <v>1241</v>
      </c>
      <c r="C602">
        <v>25068</v>
      </c>
    </row>
    <row r="603" spans="1:3" x14ac:dyDescent="0.25">
      <c r="A603" t="s">
        <v>1242</v>
      </c>
      <c r="C603">
        <v>25070</v>
      </c>
    </row>
    <row r="604" spans="1:3" x14ac:dyDescent="0.25">
      <c r="A604" t="s">
        <v>1243</v>
      </c>
      <c r="C604">
        <v>25072</v>
      </c>
    </row>
    <row r="605" spans="1:3" x14ac:dyDescent="0.25">
      <c r="A605" t="s">
        <v>1244</v>
      </c>
      <c r="C605">
        <v>25069</v>
      </c>
    </row>
    <row r="606" spans="1:3" x14ac:dyDescent="0.25">
      <c r="A606" t="s">
        <v>1245</v>
      </c>
      <c r="C606">
        <v>25071</v>
      </c>
    </row>
    <row r="607" spans="1:3" x14ac:dyDescent="0.25">
      <c r="A607" t="s">
        <v>1246</v>
      </c>
      <c r="B607" t="s">
        <v>1247</v>
      </c>
      <c r="C607">
        <v>25073</v>
      </c>
    </row>
    <row r="608" spans="1:3" x14ac:dyDescent="0.25">
      <c r="A608" t="s">
        <v>1248</v>
      </c>
      <c r="C608">
        <v>25074</v>
      </c>
    </row>
    <row r="609" spans="1:4" x14ac:dyDescent="0.25">
      <c r="A609" t="s">
        <v>1249</v>
      </c>
      <c r="C609">
        <v>25076</v>
      </c>
    </row>
    <row r="610" spans="1:4" x14ac:dyDescent="0.25">
      <c r="A610" t="s">
        <v>1250</v>
      </c>
      <c r="C610">
        <v>25077</v>
      </c>
    </row>
    <row r="611" spans="1:4" x14ac:dyDescent="0.25">
      <c r="A611" t="s">
        <v>1251</v>
      </c>
      <c r="C611">
        <v>25075</v>
      </c>
    </row>
    <row r="612" spans="1:4" x14ac:dyDescent="0.25">
      <c r="A612" t="s">
        <v>1252</v>
      </c>
      <c r="C612">
        <v>25078</v>
      </c>
    </row>
    <row r="613" spans="1:4" x14ac:dyDescent="0.25">
      <c r="A613" t="s">
        <v>1253</v>
      </c>
      <c r="C613">
        <v>25079</v>
      </c>
    </row>
    <row r="614" spans="1:4" x14ac:dyDescent="0.25">
      <c r="A614" t="s">
        <v>1254</v>
      </c>
      <c r="B614" t="s">
        <v>1255</v>
      </c>
      <c r="C614">
        <v>25465</v>
      </c>
    </row>
    <row r="615" spans="1:4" x14ac:dyDescent="0.25">
      <c r="A615" t="s">
        <v>1256</v>
      </c>
      <c r="B615" t="s">
        <v>1257</v>
      </c>
      <c r="C615">
        <v>25081</v>
      </c>
      <c r="D615" t="s">
        <v>252</v>
      </c>
    </row>
    <row r="616" spans="1:4" x14ac:dyDescent="0.25">
      <c r="A616" t="s">
        <v>1258</v>
      </c>
      <c r="B616" t="s">
        <v>1255</v>
      </c>
      <c r="C616">
        <v>25080</v>
      </c>
    </row>
    <row r="617" spans="1:4" x14ac:dyDescent="0.25">
      <c r="A617" t="s">
        <v>1259</v>
      </c>
      <c r="B617" t="s">
        <v>1260</v>
      </c>
      <c r="C617">
        <v>41398</v>
      </c>
    </row>
    <row r="618" spans="1:4" x14ac:dyDescent="0.25">
      <c r="A618" t="s">
        <v>1261</v>
      </c>
      <c r="C618">
        <v>25082</v>
      </c>
    </row>
    <row r="619" spans="1:4" x14ac:dyDescent="0.25">
      <c r="A619" t="s">
        <v>1262</v>
      </c>
      <c r="C619">
        <v>25084</v>
      </c>
    </row>
    <row r="620" spans="1:4" x14ac:dyDescent="0.25">
      <c r="A620" t="s">
        <v>1263</v>
      </c>
      <c r="B620" t="s">
        <v>1264</v>
      </c>
      <c r="C620">
        <v>25085</v>
      </c>
      <c r="D620" t="s">
        <v>211</v>
      </c>
    </row>
    <row r="621" spans="1:4" x14ac:dyDescent="0.25">
      <c r="A621" t="s">
        <v>1265</v>
      </c>
      <c r="B621" t="s">
        <v>1266</v>
      </c>
      <c r="C621">
        <v>47919</v>
      </c>
      <c r="D621" t="s">
        <v>267</v>
      </c>
    </row>
    <row r="622" spans="1:4" x14ac:dyDescent="0.25">
      <c r="A622" t="s">
        <v>1267</v>
      </c>
      <c r="B622" t="s">
        <v>1268</v>
      </c>
      <c r="C622">
        <v>47921</v>
      </c>
    </row>
    <row r="623" spans="1:4" x14ac:dyDescent="0.25">
      <c r="A623" t="s">
        <v>1269</v>
      </c>
      <c r="B623" t="s">
        <v>1268</v>
      </c>
      <c r="C623">
        <v>47922</v>
      </c>
    </row>
    <row r="624" spans="1:4" x14ac:dyDescent="0.25">
      <c r="A624" t="s">
        <v>1270</v>
      </c>
      <c r="B624" t="s">
        <v>1271</v>
      </c>
      <c r="C624">
        <v>25086</v>
      </c>
      <c r="D624" t="s">
        <v>211</v>
      </c>
    </row>
    <row r="625" spans="1:4" x14ac:dyDescent="0.25">
      <c r="A625" t="s">
        <v>1272</v>
      </c>
      <c r="B625" t="s">
        <v>1273</v>
      </c>
      <c r="C625">
        <v>25087</v>
      </c>
    </row>
    <row r="626" spans="1:4" x14ac:dyDescent="0.25">
      <c r="A626" t="s">
        <v>1274</v>
      </c>
      <c r="B626" t="s">
        <v>1275</v>
      </c>
      <c r="C626">
        <v>25088</v>
      </c>
    </row>
    <row r="627" spans="1:4" x14ac:dyDescent="0.25">
      <c r="A627" t="s">
        <v>1276</v>
      </c>
      <c r="B627" t="s">
        <v>1277</v>
      </c>
      <c r="C627">
        <v>25466</v>
      </c>
    </row>
    <row r="628" spans="1:4" x14ac:dyDescent="0.25">
      <c r="A628" t="s">
        <v>1278</v>
      </c>
      <c r="B628" t="s">
        <v>1277</v>
      </c>
      <c r="C628">
        <v>25089</v>
      </c>
    </row>
    <row r="629" spans="1:4" x14ac:dyDescent="0.25">
      <c r="A629" t="s">
        <v>1279</v>
      </c>
      <c r="B629" t="s">
        <v>1277</v>
      </c>
      <c r="C629">
        <v>25090</v>
      </c>
    </row>
    <row r="630" spans="1:4" x14ac:dyDescent="0.25">
      <c r="A630" t="s">
        <v>1280</v>
      </c>
      <c r="B630" t="s">
        <v>1277</v>
      </c>
      <c r="C630">
        <v>25091</v>
      </c>
    </row>
    <row r="631" spans="1:4" x14ac:dyDescent="0.25">
      <c r="A631" t="s">
        <v>1281</v>
      </c>
      <c r="B631" t="s">
        <v>1282</v>
      </c>
      <c r="C631">
        <v>25371</v>
      </c>
    </row>
    <row r="632" spans="1:4" x14ac:dyDescent="0.25">
      <c r="A632" t="s">
        <v>1283</v>
      </c>
      <c r="B632" t="s">
        <v>1284</v>
      </c>
      <c r="C632">
        <v>25372</v>
      </c>
    </row>
    <row r="633" spans="1:4" x14ac:dyDescent="0.25">
      <c r="A633" t="s">
        <v>1285</v>
      </c>
      <c r="B633" t="s">
        <v>1286</v>
      </c>
      <c r="C633">
        <v>25373</v>
      </c>
    </row>
    <row r="634" spans="1:4" x14ac:dyDescent="0.25">
      <c r="A634" t="s">
        <v>1287</v>
      </c>
      <c r="B634" t="s">
        <v>1288</v>
      </c>
      <c r="C634">
        <v>25374</v>
      </c>
    </row>
    <row r="635" spans="1:4" x14ac:dyDescent="0.25">
      <c r="A635" t="s">
        <v>1289</v>
      </c>
      <c r="B635" t="s">
        <v>1290</v>
      </c>
      <c r="C635">
        <v>25375</v>
      </c>
    </row>
    <row r="636" spans="1:4" x14ac:dyDescent="0.25">
      <c r="A636" t="s">
        <v>1291</v>
      </c>
      <c r="B636" t="s">
        <v>1292</v>
      </c>
      <c r="C636">
        <v>25376</v>
      </c>
    </row>
    <row r="637" spans="1:4" x14ac:dyDescent="0.25">
      <c r="A637" t="s">
        <v>1293</v>
      </c>
      <c r="B637" t="s">
        <v>1294</v>
      </c>
      <c r="C637">
        <v>25377</v>
      </c>
    </row>
    <row r="638" spans="1:4" x14ac:dyDescent="0.25">
      <c r="A638" t="s">
        <v>1295</v>
      </c>
      <c r="B638" t="s">
        <v>1296</v>
      </c>
      <c r="C638">
        <v>24322</v>
      </c>
    </row>
    <row r="639" spans="1:4" x14ac:dyDescent="0.25">
      <c r="A639" t="s">
        <v>1297</v>
      </c>
      <c r="B639" t="s">
        <v>1298</v>
      </c>
      <c r="C639">
        <v>24323</v>
      </c>
    </row>
    <row r="640" spans="1:4" x14ac:dyDescent="0.25">
      <c r="A640" t="s">
        <v>1299</v>
      </c>
      <c r="B640" t="s">
        <v>1300</v>
      </c>
      <c r="C640">
        <v>47927</v>
      </c>
      <c r="D640" t="s">
        <v>211</v>
      </c>
    </row>
    <row r="641" spans="1:4" x14ac:dyDescent="0.25">
      <c r="A641" t="s">
        <v>1301</v>
      </c>
      <c r="B641" t="s">
        <v>1302</v>
      </c>
      <c r="C641">
        <v>43347</v>
      </c>
      <c r="D641" t="s">
        <v>408</v>
      </c>
    </row>
    <row r="642" spans="1:4" x14ac:dyDescent="0.25">
      <c r="A642" t="s">
        <v>1303</v>
      </c>
      <c r="B642" t="s">
        <v>1304</v>
      </c>
      <c r="C642">
        <v>42389</v>
      </c>
    </row>
    <row r="643" spans="1:4" x14ac:dyDescent="0.25">
      <c r="A643" t="s">
        <v>1305</v>
      </c>
      <c r="B643" t="s">
        <v>1306</v>
      </c>
      <c r="C643">
        <v>25547</v>
      </c>
    </row>
    <row r="644" spans="1:4" x14ac:dyDescent="0.25">
      <c r="A644" t="s">
        <v>1307</v>
      </c>
      <c r="B644" t="s">
        <v>1306</v>
      </c>
      <c r="C644">
        <v>24304</v>
      </c>
    </row>
    <row r="645" spans="1:4" x14ac:dyDescent="0.25">
      <c r="A645" t="s">
        <v>1308</v>
      </c>
      <c r="B645" t="s">
        <v>1309</v>
      </c>
      <c r="C645">
        <v>30901</v>
      </c>
    </row>
    <row r="646" spans="1:4" x14ac:dyDescent="0.25">
      <c r="A646" t="s">
        <v>1310</v>
      </c>
      <c r="B646" t="s">
        <v>1309</v>
      </c>
      <c r="C646">
        <v>30902</v>
      </c>
    </row>
    <row r="647" spans="1:4" x14ac:dyDescent="0.25">
      <c r="A647" t="s">
        <v>1311</v>
      </c>
      <c r="B647" t="s">
        <v>1312</v>
      </c>
      <c r="C647">
        <v>24256</v>
      </c>
    </row>
    <row r="648" spans="1:4" x14ac:dyDescent="0.25">
      <c r="A648" t="s">
        <v>1313</v>
      </c>
      <c r="B648" t="s">
        <v>1314</v>
      </c>
      <c r="C648">
        <v>34077</v>
      </c>
      <c r="D648" t="s">
        <v>319</v>
      </c>
    </row>
    <row r="649" spans="1:4" x14ac:dyDescent="0.25">
      <c r="A649" t="s">
        <v>1315</v>
      </c>
      <c r="B649" t="s">
        <v>1316</v>
      </c>
      <c r="C649">
        <v>34078</v>
      </c>
      <c r="D649" t="s">
        <v>231</v>
      </c>
    </row>
    <row r="650" spans="1:4" x14ac:dyDescent="0.25">
      <c r="A650" t="s">
        <v>1317</v>
      </c>
      <c r="B650" t="s">
        <v>1318</v>
      </c>
      <c r="C650">
        <v>33942</v>
      </c>
      <c r="D650" t="s">
        <v>319</v>
      </c>
    </row>
    <row r="651" spans="1:4" x14ac:dyDescent="0.25">
      <c r="A651" t="s">
        <v>1319</v>
      </c>
      <c r="B651" t="s">
        <v>1320</v>
      </c>
      <c r="C651">
        <v>33944</v>
      </c>
      <c r="D651" t="s">
        <v>231</v>
      </c>
    </row>
    <row r="652" spans="1:4" x14ac:dyDescent="0.25">
      <c r="A652" t="s">
        <v>1321</v>
      </c>
      <c r="B652" t="s">
        <v>1322</v>
      </c>
      <c r="C652">
        <v>25673</v>
      </c>
    </row>
    <row r="653" spans="1:4" x14ac:dyDescent="0.25">
      <c r="A653" t="s">
        <v>1323</v>
      </c>
      <c r="B653" t="s">
        <v>1322</v>
      </c>
      <c r="C653">
        <v>24605</v>
      </c>
    </row>
    <row r="654" spans="1:4" x14ac:dyDescent="0.25">
      <c r="A654" t="s">
        <v>1324</v>
      </c>
      <c r="B654" t="s">
        <v>1322</v>
      </c>
      <c r="C654">
        <v>24606</v>
      </c>
    </row>
    <row r="655" spans="1:4" x14ac:dyDescent="0.25">
      <c r="A655" t="s">
        <v>1325</v>
      </c>
      <c r="B655" t="s">
        <v>1326</v>
      </c>
      <c r="C655">
        <v>24687</v>
      </c>
    </row>
    <row r="656" spans="1:4" x14ac:dyDescent="0.25">
      <c r="A656" t="s">
        <v>1327</v>
      </c>
      <c r="B656" t="s">
        <v>1326</v>
      </c>
      <c r="C656">
        <v>47928</v>
      </c>
    </row>
    <row r="657" spans="1:4" x14ac:dyDescent="0.25">
      <c r="A657" t="s">
        <v>1328</v>
      </c>
      <c r="B657" t="s">
        <v>1329</v>
      </c>
      <c r="C657">
        <v>30903</v>
      </c>
      <c r="D657" t="s">
        <v>278</v>
      </c>
    </row>
    <row r="658" spans="1:4" x14ac:dyDescent="0.25">
      <c r="A658" t="s">
        <v>1330</v>
      </c>
      <c r="B658" t="s">
        <v>1331</v>
      </c>
      <c r="C658">
        <v>24089</v>
      </c>
      <c r="D658" t="s">
        <v>278</v>
      </c>
    </row>
    <row r="659" spans="1:4" x14ac:dyDescent="0.25">
      <c r="A659" t="s">
        <v>1332</v>
      </c>
      <c r="B659" t="s">
        <v>1333</v>
      </c>
      <c r="C659">
        <v>48395</v>
      </c>
      <c r="D659" t="s">
        <v>278</v>
      </c>
    </row>
    <row r="660" spans="1:4" x14ac:dyDescent="0.25">
      <c r="A660" t="s">
        <v>1334</v>
      </c>
      <c r="B660" t="s">
        <v>1335</v>
      </c>
      <c r="C660">
        <v>24091</v>
      </c>
    </row>
    <row r="661" spans="1:4" x14ac:dyDescent="0.25">
      <c r="A661" t="s">
        <v>1336</v>
      </c>
      <c r="B661" t="s">
        <v>1337</v>
      </c>
      <c r="C661">
        <v>25606</v>
      </c>
    </row>
    <row r="662" spans="1:4" x14ac:dyDescent="0.25">
      <c r="A662" t="s">
        <v>1338</v>
      </c>
      <c r="B662" t="s">
        <v>1337</v>
      </c>
      <c r="C662">
        <v>24439</v>
      </c>
      <c r="D662" t="s">
        <v>654</v>
      </c>
    </row>
    <row r="663" spans="1:4" x14ac:dyDescent="0.25">
      <c r="A663" t="s">
        <v>1339</v>
      </c>
      <c r="B663" t="s">
        <v>1340</v>
      </c>
      <c r="C663">
        <v>24440</v>
      </c>
      <c r="D663" t="s">
        <v>408</v>
      </c>
    </row>
    <row r="664" spans="1:4" x14ac:dyDescent="0.25">
      <c r="A664" t="s">
        <v>1341</v>
      </c>
      <c r="B664" t="s">
        <v>1342</v>
      </c>
      <c r="C664">
        <v>24092</v>
      </c>
      <c r="D664" t="s">
        <v>211</v>
      </c>
    </row>
    <row r="665" spans="1:4" x14ac:dyDescent="0.25">
      <c r="A665" t="s">
        <v>1343</v>
      </c>
      <c r="B665" t="s">
        <v>1344</v>
      </c>
      <c r="C665">
        <v>24093</v>
      </c>
      <c r="D665" t="s">
        <v>408</v>
      </c>
    </row>
    <row r="666" spans="1:4" x14ac:dyDescent="0.25">
      <c r="A666" t="s">
        <v>1345</v>
      </c>
      <c r="C666">
        <v>24995</v>
      </c>
    </row>
    <row r="667" spans="1:4" x14ac:dyDescent="0.25">
      <c r="A667" t="s">
        <v>1346</v>
      </c>
      <c r="C667">
        <v>24996</v>
      </c>
    </row>
    <row r="668" spans="1:4" x14ac:dyDescent="0.25">
      <c r="A668" t="s">
        <v>1347</v>
      </c>
      <c r="C668">
        <v>24997</v>
      </c>
    </row>
    <row r="669" spans="1:4" x14ac:dyDescent="0.25">
      <c r="A669" t="s">
        <v>1348</v>
      </c>
      <c r="B669" t="s">
        <v>1349</v>
      </c>
      <c r="C669">
        <v>30906</v>
      </c>
    </row>
    <row r="670" spans="1:4" x14ac:dyDescent="0.25">
      <c r="A670" t="s">
        <v>1350</v>
      </c>
      <c r="B670" t="s">
        <v>1349</v>
      </c>
      <c r="C670">
        <v>30905</v>
      </c>
    </row>
    <row r="671" spans="1:4" x14ac:dyDescent="0.25">
      <c r="A671" t="s">
        <v>1351</v>
      </c>
      <c r="B671" t="s">
        <v>1352</v>
      </c>
      <c r="C671">
        <v>30904</v>
      </c>
      <c r="D671" t="s">
        <v>319</v>
      </c>
    </row>
    <row r="672" spans="1:4" x14ac:dyDescent="0.25">
      <c r="A672" t="s">
        <v>1353</v>
      </c>
      <c r="C672">
        <v>30830</v>
      </c>
    </row>
    <row r="673" spans="1:3" x14ac:dyDescent="0.25">
      <c r="A673" t="s">
        <v>1354</v>
      </c>
      <c r="C673">
        <v>24998</v>
      </c>
    </row>
    <row r="674" spans="1:3" x14ac:dyDescent="0.25">
      <c r="A674" t="s">
        <v>1355</v>
      </c>
      <c r="B674" t="s">
        <v>1356</v>
      </c>
      <c r="C674">
        <v>25766</v>
      </c>
    </row>
    <row r="675" spans="1:3" x14ac:dyDescent="0.25">
      <c r="A675" t="s">
        <v>1357</v>
      </c>
      <c r="C675">
        <v>24999</v>
      </c>
    </row>
    <row r="676" spans="1:3" x14ac:dyDescent="0.25">
      <c r="A676" t="s">
        <v>1358</v>
      </c>
      <c r="C676">
        <v>25000</v>
      </c>
    </row>
    <row r="677" spans="1:3" x14ac:dyDescent="0.25">
      <c r="A677" t="s">
        <v>1359</v>
      </c>
      <c r="B677" t="s">
        <v>1360</v>
      </c>
      <c r="C677">
        <v>47930</v>
      </c>
    </row>
    <row r="678" spans="1:3" x14ac:dyDescent="0.25">
      <c r="A678" t="s">
        <v>1361</v>
      </c>
      <c r="C678">
        <v>25001</v>
      </c>
    </row>
    <row r="679" spans="1:3" x14ac:dyDescent="0.25">
      <c r="A679" t="s">
        <v>1362</v>
      </c>
      <c r="C679">
        <v>25002</v>
      </c>
    </row>
    <row r="680" spans="1:3" x14ac:dyDescent="0.25">
      <c r="A680" t="s">
        <v>1363</v>
      </c>
      <c r="C680">
        <v>25003</v>
      </c>
    </row>
    <row r="681" spans="1:3" x14ac:dyDescent="0.25">
      <c r="A681" t="s">
        <v>1364</v>
      </c>
      <c r="C681">
        <v>30829</v>
      </c>
    </row>
    <row r="682" spans="1:3" x14ac:dyDescent="0.25">
      <c r="A682" t="s">
        <v>1365</v>
      </c>
      <c r="C682">
        <v>25004</v>
      </c>
    </row>
    <row r="683" spans="1:3" x14ac:dyDescent="0.25">
      <c r="A683" t="s">
        <v>1366</v>
      </c>
      <c r="B683" t="s">
        <v>1367</v>
      </c>
      <c r="C683">
        <v>24052</v>
      </c>
    </row>
    <row r="684" spans="1:3" x14ac:dyDescent="0.25">
      <c r="A684" t="s">
        <v>1368</v>
      </c>
      <c r="B684" t="s">
        <v>1367</v>
      </c>
      <c r="C684">
        <v>47931</v>
      </c>
    </row>
    <row r="685" spans="1:3" x14ac:dyDescent="0.25">
      <c r="A685" t="s">
        <v>1369</v>
      </c>
      <c r="C685">
        <v>42390</v>
      </c>
    </row>
    <row r="686" spans="1:3" x14ac:dyDescent="0.25">
      <c r="A686" t="s">
        <v>1370</v>
      </c>
      <c r="B686" t="s">
        <v>1371</v>
      </c>
      <c r="C686">
        <v>25292</v>
      </c>
    </row>
    <row r="687" spans="1:3" x14ac:dyDescent="0.25">
      <c r="A687" t="s">
        <v>1372</v>
      </c>
      <c r="B687" t="s">
        <v>1373</v>
      </c>
      <c r="C687">
        <v>25293</v>
      </c>
    </row>
    <row r="688" spans="1:3" x14ac:dyDescent="0.25">
      <c r="A688" t="s">
        <v>1374</v>
      </c>
      <c r="B688" t="s">
        <v>1375</v>
      </c>
      <c r="C688">
        <v>25294</v>
      </c>
    </row>
    <row r="689" spans="1:4" x14ac:dyDescent="0.25">
      <c r="A689" t="s">
        <v>1376</v>
      </c>
      <c r="B689" t="s">
        <v>1377</v>
      </c>
      <c r="C689">
        <v>25468</v>
      </c>
    </row>
    <row r="690" spans="1:4" x14ac:dyDescent="0.25">
      <c r="A690" t="s">
        <v>1378</v>
      </c>
      <c r="B690" t="s">
        <v>1377</v>
      </c>
      <c r="C690">
        <v>25295</v>
      </c>
    </row>
    <row r="691" spans="1:4" x14ac:dyDescent="0.25">
      <c r="A691" t="s">
        <v>1379</v>
      </c>
      <c r="B691" t="s">
        <v>1377</v>
      </c>
      <c r="C691">
        <v>25247</v>
      </c>
    </row>
    <row r="692" spans="1:4" x14ac:dyDescent="0.25">
      <c r="A692" t="s">
        <v>1380</v>
      </c>
      <c r="B692" t="s">
        <v>1377</v>
      </c>
      <c r="C692">
        <v>25296</v>
      </c>
    </row>
    <row r="693" spans="1:4" x14ac:dyDescent="0.25">
      <c r="A693" t="s">
        <v>1381</v>
      </c>
      <c r="B693" t="s">
        <v>1382</v>
      </c>
      <c r="C693">
        <v>41399</v>
      </c>
    </row>
    <row r="694" spans="1:4" x14ac:dyDescent="0.25">
      <c r="A694" t="s">
        <v>1383</v>
      </c>
      <c r="B694" t="s">
        <v>1382</v>
      </c>
      <c r="C694">
        <v>41400</v>
      </c>
    </row>
    <row r="695" spans="1:4" x14ac:dyDescent="0.25">
      <c r="A695" t="s">
        <v>1384</v>
      </c>
      <c r="B695" t="s">
        <v>1385</v>
      </c>
      <c r="C695">
        <v>25297</v>
      </c>
    </row>
    <row r="696" spans="1:4" x14ac:dyDescent="0.25">
      <c r="A696" t="s">
        <v>1386</v>
      </c>
      <c r="B696" t="s">
        <v>1382</v>
      </c>
      <c r="C696">
        <v>41401</v>
      </c>
    </row>
    <row r="697" spans="1:4" x14ac:dyDescent="0.25">
      <c r="A697" t="s">
        <v>1387</v>
      </c>
      <c r="B697" t="s">
        <v>1388</v>
      </c>
      <c r="C697">
        <v>25298</v>
      </c>
    </row>
    <row r="698" spans="1:4" x14ac:dyDescent="0.25">
      <c r="A698" t="s">
        <v>1389</v>
      </c>
      <c r="B698" t="s">
        <v>1390</v>
      </c>
      <c r="C698">
        <v>25299</v>
      </c>
    </row>
    <row r="699" spans="1:4" x14ac:dyDescent="0.25">
      <c r="A699" t="s">
        <v>1391</v>
      </c>
      <c r="B699" t="s">
        <v>1392</v>
      </c>
      <c r="C699">
        <v>25325</v>
      </c>
    </row>
    <row r="700" spans="1:4" x14ac:dyDescent="0.25">
      <c r="A700" t="s">
        <v>1393</v>
      </c>
      <c r="B700" t="s">
        <v>1394</v>
      </c>
      <c r="C700">
        <v>24324</v>
      </c>
    </row>
    <row r="701" spans="1:4" x14ac:dyDescent="0.25">
      <c r="A701" t="s">
        <v>1395</v>
      </c>
      <c r="B701" t="s">
        <v>1396</v>
      </c>
      <c r="C701">
        <v>24325</v>
      </c>
    </row>
    <row r="702" spans="1:4" x14ac:dyDescent="0.25">
      <c r="A702" t="s">
        <v>1397</v>
      </c>
      <c r="B702" t="s">
        <v>1398</v>
      </c>
      <c r="C702">
        <v>25346</v>
      </c>
      <c r="D702" t="s">
        <v>211</v>
      </c>
    </row>
    <row r="703" spans="1:4" x14ac:dyDescent="0.25">
      <c r="A703" t="s">
        <v>1399</v>
      </c>
      <c r="B703" t="s">
        <v>1400</v>
      </c>
      <c r="C703">
        <v>25607</v>
      </c>
    </row>
    <row r="704" spans="1:4" x14ac:dyDescent="0.25">
      <c r="A704" t="s">
        <v>1401</v>
      </c>
      <c r="B704" t="s">
        <v>1400</v>
      </c>
      <c r="C704">
        <v>24441</v>
      </c>
    </row>
    <row r="705" spans="1:4" x14ac:dyDescent="0.25">
      <c r="A705" t="s">
        <v>1402</v>
      </c>
      <c r="B705" t="s">
        <v>1403</v>
      </c>
      <c r="C705">
        <v>25608</v>
      </c>
    </row>
    <row r="706" spans="1:4" x14ac:dyDescent="0.25">
      <c r="A706" t="s">
        <v>1404</v>
      </c>
      <c r="B706" t="s">
        <v>1403</v>
      </c>
      <c r="C706">
        <v>24442</v>
      </c>
    </row>
    <row r="707" spans="1:4" x14ac:dyDescent="0.25">
      <c r="A707" t="s">
        <v>1405</v>
      </c>
      <c r="B707" t="s">
        <v>1406</v>
      </c>
      <c r="C707">
        <v>34002</v>
      </c>
      <c r="D707" t="s">
        <v>281</v>
      </c>
    </row>
    <row r="708" spans="1:4" x14ac:dyDescent="0.25">
      <c r="A708" t="s">
        <v>1407</v>
      </c>
      <c r="B708" t="s">
        <v>1408</v>
      </c>
      <c r="C708">
        <v>48576</v>
      </c>
    </row>
    <row r="709" spans="1:4" x14ac:dyDescent="0.25">
      <c r="A709" t="s">
        <v>1409</v>
      </c>
      <c r="B709" t="s">
        <v>1410</v>
      </c>
      <c r="C709">
        <v>48577</v>
      </c>
      <c r="D709" t="s">
        <v>408</v>
      </c>
    </row>
    <row r="710" spans="1:4" x14ac:dyDescent="0.25">
      <c r="A710" t="s">
        <v>1411</v>
      </c>
      <c r="B710" t="s">
        <v>1412</v>
      </c>
      <c r="C710">
        <v>34003</v>
      </c>
      <c r="D710" t="s">
        <v>281</v>
      </c>
    </row>
    <row r="711" spans="1:4" x14ac:dyDescent="0.25">
      <c r="A711" t="s">
        <v>1413</v>
      </c>
      <c r="B711" t="s">
        <v>1414</v>
      </c>
      <c r="C711">
        <v>25617</v>
      </c>
      <c r="D711" t="s">
        <v>211</v>
      </c>
    </row>
    <row r="712" spans="1:4" x14ac:dyDescent="0.25">
      <c r="A712" t="s">
        <v>1415</v>
      </c>
      <c r="B712" t="s">
        <v>1416</v>
      </c>
      <c r="C712">
        <v>25618</v>
      </c>
      <c r="D712" t="s">
        <v>211</v>
      </c>
    </row>
    <row r="713" spans="1:4" x14ac:dyDescent="0.25">
      <c r="A713" t="s">
        <v>1417</v>
      </c>
      <c r="B713" t="s">
        <v>1418</v>
      </c>
      <c r="C713">
        <v>34005</v>
      </c>
      <c r="D713" t="s">
        <v>408</v>
      </c>
    </row>
    <row r="714" spans="1:4" x14ac:dyDescent="0.25">
      <c r="A714" t="s">
        <v>1419</v>
      </c>
      <c r="B714" t="s">
        <v>1420</v>
      </c>
      <c r="C714">
        <v>47932</v>
      </c>
    </row>
    <row r="715" spans="1:4" x14ac:dyDescent="0.25">
      <c r="A715" t="s">
        <v>1421</v>
      </c>
      <c r="B715" t="s">
        <v>1422</v>
      </c>
      <c r="C715">
        <v>41403</v>
      </c>
    </row>
    <row r="716" spans="1:4" x14ac:dyDescent="0.25">
      <c r="A716" t="s">
        <v>1423</v>
      </c>
      <c r="B716" t="s">
        <v>1424</v>
      </c>
      <c r="C716">
        <v>34146</v>
      </c>
      <c r="D716" t="s">
        <v>252</v>
      </c>
    </row>
    <row r="717" spans="1:4" x14ac:dyDescent="0.25">
      <c r="A717" t="s">
        <v>1425</v>
      </c>
      <c r="B717" t="s">
        <v>1426</v>
      </c>
      <c r="C717">
        <v>24926</v>
      </c>
    </row>
    <row r="718" spans="1:4" x14ac:dyDescent="0.25">
      <c r="A718" t="s">
        <v>1427</v>
      </c>
      <c r="B718" t="s">
        <v>1428</v>
      </c>
      <c r="C718">
        <v>47933</v>
      </c>
    </row>
    <row r="719" spans="1:4" x14ac:dyDescent="0.25">
      <c r="A719" t="s">
        <v>1429</v>
      </c>
      <c r="B719" t="s">
        <v>1430</v>
      </c>
      <c r="C719">
        <v>24928</v>
      </c>
      <c r="D719" t="s">
        <v>319</v>
      </c>
    </row>
    <row r="720" spans="1:4" x14ac:dyDescent="0.25">
      <c r="A720" t="s">
        <v>1431</v>
      </c>
      <c r="B720" t="s">
        <v>1432</v>
      </c>
      <c r="C720">
        <v>41404</v>
      </c>
    </row>
    <row r="721" spans="1:4" x14ac:dyDescent="0.25">
      <c r="A721" t="s">
        <v>1433</v>
      </c>
      <c r="C721">
        <v>25469</v>
      </c>
    </row>
    <row r="722" spans="1:4" x14ac:dyDescent="0.25">
      <c r="A722" t="s">
        <v>1434</v>
      </c>
      <c r="C722">
        <v>24929</v>
      </c>
    </row>
    <row r="723" spans="1:4" x14ac:dyDescent="0.25">
      <c r="A723" t="s">
        <v>1435</v>
      </c>
      <c r="C723">
        <v>24930</v>
      </c>
    </row>
    <row r="724" spans="1:4" x14ac:dyDescent="0.25">
      <c r="A724" t="s">
        <v>1436</v>
      </c>
      <c r="B724" t="s">
        <v>1437</v>
      </c>
      <c r="C724">
        <v>24933</v>
      </c>
      <c r="D724" t="s">
        <v>252</v>
      </c>
    </row>
    <row r="725" spans="1:4" x14ac:dyDescent="0.25">
      <c r="A725" t="s">
        <v>1438</v>
      </c>
      <c r="C725">
        <v>25231</v>
      </c>
    </row>
    <row r="726" spans="1:4" x14ac:dyDescent="0.25">
      <c r="A726" t="s">
        <v>1439</v>
      </c>
      <c r="B726" t="s">
        <v>1440</v>
      </c>
      <c r="C726">
        <v>47934</v>
      </c>
    </row>
    <row r="727" spans="1:4" x14ac:dyDescent="0.25">
      <c r="A727" t="s">
        <v>1441</v>
      </c>
      <c r="B727" t="s">
        <v>1442</v>
      </c>
      <c r="C727">
        <v>44654</v>
      </c>
    </row>
    <row r="728" spans="1:4" x14ac:dyDescent="0.25">
      <c r="A728" t="s">
        <v>1443</v>
      </c>
      <c r="C728">
        <v>24937</v>
      </c>
    </row>
    <row r="729" spans="1:4" x14ac:dyDescent="0.25">
      <c r="A729" t="s">
        <v>1444</v>
      </c>
      <c r="B729" t="s">
        <v>1445</v>
      </c>
      <c r="C729">
        <v>44655</v>
      </c>
    </row>
    <row r="730" spans="1:4" x14ac:dyDescent="0.25">
      <c r="A730" t="s">
        <v>1446</v>
      </c>
      <c r="C730">
        <v>24938</v>
      </c>
    </row>
    <row r="731" spans="1:4" x14ac:dyDescent="0.25">
      <c r="A731" t="s">
        <v>1447</v>
      </c>
      <c r="C731">
        <v>24939</v>
      </c>
    </row>
    <row r="732" spans="1:4" x14ac:dyDescent="0.25">
      <c r="A732" t="s">
        <v>1448</v>
      </c>
      <c r="C732">
        <v>24940</v>
      </c>
    </row>
    <row r="733" spans="1:4" x14ac:dyDescent="0.25">
      <c r="A733" t="s">
        <v>1449</v>
      </c>
      <c r="B733" t="s">
        <v>1450</v>
      </c>
      <c r="C733">
        <v>24944</v>
      </c>
    </row>
    <row r="734" spans="1:4" x14ac:dyDescent="0.25">
      <c r="A734" t="s">
        <v>1451</v>
      </c>
      <c r="B734" t="s">
        <v>1452</v>
      </c>
      <c r="C734">
        <v>41405</v>
      </c>
    </row>
    <row r="735" spans="1:4" x14ac:dyDescent="0.25">
      <c r="A735" t="s">
        <v>1453</v>
      </c>
      <c r="B735" t="s">
        <v>1454</v>
      </c>
      <c r="C735">
        <v>42400</v>
      </c>
    </row>
    <row r="736" spans="1:4" x14ac:dyDescent="0.25">
      <c r="A736" t="s">
        <v>1455</v>
      </c>
      <c r="B736" t="s">
        <v>1456</v>
      </c>
      <c r="C736">
        <v>25470</v>
      </c>
    </row>
    <row r="737" spans="1:4" x14ac:dyDescent="0.25">
      <c r="A737" t="s">
        <v>1457</v>
      </c>
      <c r="B737" t="s">
        <v>1456</v>
      </c>
      <c r="C737">
        <v>24891</v>
      </c>
    </row>
    <row r="738" spans="1:4" x14ac:dyDescent="0.25">
      <c r="A738" t="s">
        <v>1458</v>
      </c>
      <c r="B738" t="s">
        <v>1459</v>
      </c>
      <c r="C738">
        <v>30909</v>
      </c>
    </row>
    <row r="739" spans="1:4" x14ac:dyDescent="0.25">
      <c r="A739" t="s">
        <v>1460</v>
      </c>
      <c r="C739">
        <v>25228</v>
      </c>
    </row>
    <row r="740" spans="1:4" x14ac:dyDescent="0.25">
      <c r="A740" t="s">
        <v>1461</v>
      </c>
      <c r="C740">
        <v>24892</v>
      </c>
    </row>
    <row r="741" spans="1:4" x14ac:dyDescent="0.25">
      <c r="A741" t="s">
        <v>1462</v>
      </c>
      <c r="B741" t="s">
        <v>1463</v>
      </c>
      <c r="C741">
        <v>24893</v>
      </c>
      <c r="D741" t="s">
        <v>252</v>
      </c>
    </row>
    <row r="742" spans="1:4" x14ac:dyDescent="0.25">
      <c r="A742" t="s">
        <v>1464</v>
      </c>
      <c r="C742">
        <v>24894</v>
      </c>
    </row>
    <row r="743" spans="1:4" x14ac:dyDescent="0.25">
      <c r="A743" t="s">
        <v>1465</v>
      </c>
      <c r="C743">
        <v>25229</v>
      </c>
    </row>
    <row r="744" spans="1:4" x14ac:dyDescent="0.25">
      <c r="A744" t="s">
        <v>1466</v>
      </c>
      <c r="C744">
        <v>24895</v>
      </c>
    </row>
    <row r="745" spans="1:4" x14ac:dyDescent="0.25">
      <c r="A745" t="s">
        <v>1467</v>
      </c>
      <c r="B745" t="s">
        <v>1468</v>
      </c>
      <c r="C745">
        <v>42401</v>
      </c>
    </row>
    <row r="746" spans="1:4" x14ac:dyDescent="0.25">
      <c r="A746" t="s">
        <v>1469</v>
      </c>
      <c r="B746" t="s">
        <v>1470</v>
      </c>
      <c r="C746">
        <v>24896</v>
      </c>
    </row>
    <row r="747" spans="1:4" x14ac:dyDescent="0.25">
      <c r="A747" t="s">
        <v>1471</v>
      </c>
      <c r="C747">
        <v>24897</v>
      </c>
    </row>
    <row r="748" spans="1:4" x14ac:dyDescent="0.25">
      <c r="A748" t="s">
        <v>1472</v>
      </c>
      <c r="C748">
        <v>24898</v>
      </c>
    </row>
    <row r="749" spans="1:4" x14ac:dyDescent="0.25">
      <c r="A749" t="s">
        <v>1473</v>
      </c>
      <c r="B749" t="s">
        <v>1474</v>
      </c>
      <c r="C749">
        <v>24899</v>
      </c>
    </row>
    <row r="750" spans="1:4" x14ac:dyDescent="0.25">
      <c r="A750" t="s">
        <v>1475</v>
      </c>
      <c r="B750" t="s">
        <v>1476</v>
      </c>
      <c r="C750">
        <v>42402</v>
      </c>
    </row>
    <row r="751" spans="1:4" x14ac:dyDescent="0.25">
      <c r="A751" t="s">
        <v>1477</v>
      </c>
      <c r="B751" t="s">
        <v>1478</v>
      </c>
      <c r="C751">
        <v>33908</v>
      </c>
      <c r="D751" t="s">
        <v>211</v>
      </c>
    </row>
    <row r="752" spans="1:4" x14ac:dyDescent="0.25">
      <c r="A752" t="s">
        <v>1479</v>
      </c>
      <c r="B752" t="s">
        <v>1480</v>
      </c>
      <c r="C752">
        <v>33907</v>
      </c>
      <c r="D752" t="s">
        <v>408</v>
      </c>
    </row>
    <row r="753" spans="1:4" x14ac:dyDescent="0.25">
      <c r="A753" t="s">
        <v>1481</v>
      </c>
      <c r="B753" t="s">
        <v>1482</v>
      </c>
      <c r="C753">
        <v>33909</v>
      </c>
      <c r="D753" t="s">
        <v>408</v>
      </c>
    </row>
    <row r="754" spans="1:4" x14ac:dyDescent="0.25">
      <c r="A754" t="s">
        <v>1483</v>
      </c>
      <c r="B754" t="s">
        <v>1484</v>
      </c>
      <c r="C754">
        <v>34152</v>
      </c>
      <c r="D754" t="s">
        <v>211</v>
      </c>
    </row>
    <row r="755" spans="1:4" x14ac:dyDescent="0.25">
      <c r="A755" t="s">
        <v>1485</v>
      </c>
      <c r="B755" t="s">
        <v>1486</v>
      </c>
      <c r="C755">
        <v>33915</v>
      </c>
    </row>
    <row r="756" spans="1:4" x14ac:dyDescent="0.25">
      <c r="A756" t="s">
        <v>1487</v>
      </c>
      <c r="B756" t="s">
        <v>1488</v>
      </c>
      <c r="C756">
        <v>24470</v>
      </c>
    </row>
    <row r="757" spans="1:4" x14ac:dyDescent="0.25">
      <c r="A757" t="s">
        <v>1489</v>
      </c>
      <c r="B757" t="s">
        <v>1488</v>
      </c>
      <c r="C757">
        <v>47935</v>
      </c>
    </row>
    <row r="758" spans="1:4" x14ac:dyDescent="0.25">
      <c r="A758" t="s">
        <v>1490</v>
      </c>
      <c r="B758" t="s">
        <v>1491</v>
      </c>
      <c r="C758">
        <v>24650</v>
      </c>
    </row>
    <row r="759" spans="1:4" x14ac:dyDescent="0.25">
      <c r="A759" t="s">
        <v>1492</v>
      </c>
      <c r="B759" t="s">
        <v>1493</v>
      </c>
      <c r="C759">
        <v>25300</v>
      </c>
    </row>
    <row r="760" spans="1:4" x14ac:dyDescent="0.25">
      <c r="A760" t="s">
        <v>1494</v>
      </c>
      <c r="B760" t="s">
        <v>1495</v>
      </c>
      <c r="C760">
        <v>25584</v>
      </c>
    </row>
    <row r="761" spans="1:4" x14ac:dyDescent="0.25">
      <c r="A761" t="s">
        <v>1496</v>
      </c>
      <c r="B761" t="s">
        <v>1497</v>
      </c>
      <c r="C761">
        <v>24400</v>
      </c>
    </row>
    <row r="762" spans="1:4" x14ac:dyDescent="0.25">
      <c r="A762" t="s">
        <v>1498</v>
      </c>
      <c r="B762" t="s">
        <v>1499</v>
      </c>
      <c r="C762">
        <v>24084</v>
      </c>
      <c r="D762" t="s">
        <v>491</v>
      </c>
    </row>
    <row r="763" spans="1:4" x14ac:dyDescent="0.25">
      <c r="A763" t="s">
        <v>1500</v>
      </c>
      <c r="B763" t="s">
        <v>1501</v>
      </c>
      <c r="C763">
        <v>34111</v>
      </c>
      <c r="D763" t="s">
        <v>252</v>
      </c>
    </row>
    <row r="764" spans="1:4" x14ac:dyDescent="0.25">
      <c r="A764" t="s">
        <v>1502</v>
      </c>
      <c r="B764" t="s">
        <v>1503</v>
      </c>
      <c r="C764">
        <v>25251</v>
      </c>
    </row>
    <row r="765" spans="1:4" x14ac:dyDescent="0.25">
      <c r="A765" t="s">
        <v>1504</v>
      </c>
      <c r="B765" t="s">
        <v>1505</v>
      </c>
      <c r="C765">
        <v>41406</v>
      </c>
    </row>
    <row r="766" spans="1:4" x14ac:dyDescent="0.25">
      <c r="A766" t="s">
        <v>1506</v>
      </c>
      <c r="B766" t="s">
        <v>1507</v>
      </c>
      <c r="C766">
        <v>25092</v>
      </c>
    </row>
    <row r="767" spans="1:4" x14ac:dyDescent="0.25">
      <c r="A767" t="s">
        <v>1508</v>
      </c>
      <c r="C767">
        <v>25093</v>
      </c>
    </row>
    <row r="768" spans="1:4" x14ac:dyDescent="0.25">
      <c r="A768" t="s">
        <v>1509</v>
      </c>
      <c r="B768" t="s">
        <v>1510</v>
      </c>
      <c r="C768">
        <v>41407</v>
      </c>
    </row>
    <row r="769" spans="1:4" x14ac:dyDescent="0.25">
      <c r="A769" t="s">
        <v>1511</v>
      </c>
      <c r="B769" t="s">
        <v>1512</v>
      </c>
      <c r="C769">
        <v>41408</v>
      </c>
    </row>
    <row r="770" spans="1:4" x14ac:dyDescent="0.25">
      <c r="A770" t="s">
        <v>1513</v>
      </c>
      <c r="C770">
        <v>25094</v>
      </c>
    </row>
    <row r="771" spans="1:4" x14ac:dyDescent="0.25">
      <c r="A771" t="s">
        <v>1514</v>
      </c>
      <c r="B771" t="s">
        <v>1515</v>
      </c>
      <c r="C771">
        <v>25096</v>
      </c>
    </row>
    <row r="772" spans="1:4" x14ac:dyDescent="0.25">
      <c r="A772" t="s">
        <v>1516</v>
      </c>
      <c r="C772">
        <v>25100</v>
      </c>
    </row>
    <row r="773" spans="1:4" x14ac:dyDescent="0.25">
      <c r="A773" t="s">
        <v>1517</v>
      </c>
      <c r="B773" t="s">
        <v>1518</v>
      </c>
      <c r="C773">
        <v>25101</v>
      </c>
    </row>
    <row r="774" spans="1:4" x14ac:dyDescent="0.25">
      <c r="A774" t="s">
        <v>1519</v>
      </c>
      <c r="C774">
        <v>25104</v>
      </c>
    </row>
    <row r="775" spans="1:4" x14ac:dyDescent="0.25">
      <c r="A775" t="s">
        <v>1520</v>
      </c>
      <c r="B775" t="s">
        <v>1521</v>
      </c>
      <c r="C775">
        <v>25472</v>
      </c>
    </row>
    <row r="776" spans="1:4" x14ac:dyDescent="0.25">
      <c r="A776" t="s">
        <v>1522</v>
      </c>
      <c r="B776" t="s">
        <v>1523</v>
      </c>
      <c r="C776">
        <v>25107</v>
      </c>
      <c r="D776" t="s">
        <v>211</v>
      </c>
    </row>
    <row r="777" spans="1:4" x14ac:dyDescent="0.25">
      <c r="A777" t="s">
        <v>1524</v>
      </c>
      <c r="B777" t="s">
        <v>1525</v>
      </c>
      <c r="C777">
        <v>25106</v>
      </c>
      <c r="D777" t="s">
        <v>278</v>
      </c>
    </row>
    <row r="778" spans="1:4" x14ac:dyDescent="0.25">
      <c r="A778" t="s">
        <v>1526</v>
      </c>
      <c r="B778" t="s">
        <v>1527</v>
      </c>
      <c r="C778">
        <v>25540</v>
      </c>
    </row>
    <row r="779" spans="1:4" x14ac:dyDescent="0.25">
      <c r="A779" t="s">
        <v>1528</v>
      </c>
      <c r="B779" t="s">
        <v>1529</v>
      </c>
      <c r="C779">
        <v>24290</v>
      </c>
    </row>
    <row r="780" spans="1:4" x14ac:dyDescent="0.25">
      <c r="A780" t="s">
        <v>1530</v>
      </c>
      <c r="B780" t="s">
        <v>1531</v>
      </c>
      <c r="C780">
        <v>24291</v>
      </c>
      <c r="D780" t="s">
        <v>278</v>
      </c>
    </row>
    <row r="781" spans="1:4" x14ac:dyDescent="0.25">
      <c r="A781" t="s">
        <v>1532</v>
      </c>
      <c r="B781" t="s">
        <v>1533</v>
      </c>
      <c r="C781">
        <v>25250</v>
      </c>
    </row>
    <row r="782" spans="1:4" x14ac:dyDescent="0.25">
      <c r="A782" t="s">
        <v>1534</v>
      </c>
      <c r="B782" t="s">
        <v>1535</v>
      </c>
      <c r="C782">
        <v>25290</v>
      </c>
      <c r="D782" t="s">
        <v>252</v>
      </c>
    </row>
    <row r="783" spans="1:4" x14ac:dyDescent="0.25">
      <c r="A783" t="s">
        <v>1536</v>
      </c>
      <c r="B783" t="s">
        <v>1537</v>
      </c>
      <c r="C783">
        <v>25340</v>
      </c>
    </row>
    <row r="784" spans="1:4" x14ac:dyDescent="0.25">
      <c r="A784" t="s">
        <v>1538</v>
      </c>
      <c r="B784" t="s">
        <v>1539</v>
      </c>
      <c r="C784">
        <v>47937</v>
      </c>
    </row>
    <row r="785" spans="1:4" x14ac:dyDescent="0.25">
      <c r="A785" t="s">
        <v>1540</v>
      </c>
      <c r="B785" t="s">
        <v>1541</v>
      </c>
      <c r="C785">
        <v>24631</v>
      </c>
    </row>
    <row r="786" spans="1:4" x14ac:dyDescent="0.25">
      <c r="A786" t="s">
        <v>1542</v>
      </c>
      <c r="C786">
        <v>25361</v>
      </c>
    </row>
    <row r="787" spans="1:4" x14ac:dyDescent="0.25">
      <c r="A787" t="s">
        <v>1543</v>
      </c>
      <c r="B787" t="s">
        <v>1544</v>
      </c>
      <c r="C787">
        <v>25341</v>
      </c>
    </row>
    <row r="788" spans="1:4" x14ac:dyDescent="0.25">
      <c r="A788" t="s">
        <v>1545</v>
      </c>
      <c r="B788" t="s">
        <v>1546</v>
      </c>
      <c r="C788">
        <v>33945</v>
      </c>
      <c r="D788" t="s">
        <v>281</v>
      </c>
    </row>
    <row r="789" spans="1:4" x14ac:dyDescent="0.25">
      <c r="A789" t="s">
        <v>1547</v>
      </c>
      <c r="B789" t="s">
        <v>1548</v>
      </c>
      <c r="C789">
        <v>33946</v>
      </c>
      <c r="D789" t="s">
        <v>408</v>
      </c>
    </row>
    <row r="790" spans="1:4" x14ac:dyDescent="0.25">
      <c r="A790" t="s">
        <v>1549</v>
      </c>
      <c r="B790" t="s">
        <v>1550</v>
      </c>
      <c r="C790">
        <v>49197</v>
      </c>
    </row>
    <row r="791" spans="1:4" x14ac:dyDescent="0.25">
      <c r="A791" t="s">
        <v>1551</v>
      </c>
      <c r="B791" t="s">
        <v>1552</v>
      </c>
      <c r="C791">
        <v>49198</v>
      </c>
    </row>
    <row r="792" spans="1:4" x14ac:dyDescent="0.25">
      <c r="A792" t="s">
        <v>1553</v>
      </c>
      <c r="B792" t="s">
        <v>1554</v>
      </c>
      <c r="C792">
        <v>49199</v>
      </c>
    </row>
    <row r="793" spans="1:4" x14ac:dyDescent="0.25">
      <c r="A793" t="s">
        <v>1555</v>
      </c>
      <c r="B793" t="s">
        <v>1556</v>
      </c>
      <c r="C793">
        <v>49202</v>
      </c>
    </row>
    <row r="794" spans="1:4" x14ac:dyDescent="0.25">
      <c r="A794" t="s">
        <v>1557</v>
      </c>
      <c r="B794" t="s">
        <v>1558</v>
      </c>
      <c r="C794">
        <v>33947</v>
      </c>
      <c r="D794" t="s">
        <v>408</v>
      </c>
    </row>
    <row r="795" spans="1:4" x14ac:dyDescent="0.25">
      <c r="A795" t="s">
        <v>1559</v>
      </c>
      <c r="B795" t="s">
        <v>1560</v>
      </c>
      <c r="C795">
        <v>25692</v>
      </c>
    </row>
    <row r="796" spans="1:4" x14ac:dyDescent="0.25">
      <c r="A796" t="s">
        <v>1561</v>
      </c>
      <c r="B796" t="s">
        <v>1562</v>
      </c>
      <c r="C796">
        <v>24651</v>
      </c>
    </row>
    <row r="797" spans="1:4" x14ac:dyDescent="0.25">
      <c r="A797" t="s">
        <v>1563</v>
      </c>
      <c r="B797" t="s">
        <v>1564</v>
      </c>
      <c r="C797">
        <v>24652</v>
      </c>
    </row>
    <row r="798" spans="1:4" x14ac:dyDescent="0.25">
      <c r="A798" t="s">
        <v>1565</v>
      </c>
      <c r="B798" t="s">
        <v>1566</v>
      </c>
      <c r="C798">
        <v>24653</v>
      </c>
    </row>
    <row r="799" spans="1:4" x14ac:dyDescent="0.25">
      <c r="A799" t="s">
        <v>1567</v>
      </c>
      <c r="C799">
        <v>25362</v>
      </c>
    </row>
    <row r="800" spans="1:4" x14ac:dyDescent="0.25">
      <c r="A800" t="s">
        <v>1568</v>
      </c>
      <c r="B800" t="s">
        <v>1569</v>
      </c>
      <c r="C800">
        <v>25578</v>
      </c>
    </row>
    <row r="801" spans="1:4" x14ac:dyDescent="0.25">
      <c r="A801" t="s">
        <v>1570</v>
      </c>
      <c r="B801" t="s">
        <v>1569</v>
      </c>
      <c r="C801">
        <v>24387</v>
      </c>
    </row>
    <row r="802" spans="1:4" x14ac:dyDescent="0.25">
      <c r="A802" t="s">
        <v>1571</v>
      </c>
      <c r="B802" t="s">
        <v>1572</v>
      </c>
      <c r="C802">
        <v>24567</v>
      </c>
    </row>
    <row r="803" spans="1:4" x14ac:dyDescent="0.25">
      <c r="A803" t="s">
        <v>1573</v>
      </c>
      <c r="B803" t="s">
        <v>1574</v>
      </c>
      <c r="C803">
        <v>24568</v>
      </c>
    </row>
    <row r="804" spans="1:4" x14ac:dyDescent="0.25">
      <c r="A804" t="s">
        <v>1575</v>
      </c>
      <c r="B804" t="s">
        <v>1576</v>
      </c>
      <c r="C804">
        <v>24569</v>
      </c>
    </row>
    <row r="805" spans="1:4" x14ac:dyDescent="0.25">
      <c r="A805" t="s">
        <v>1577</v>
      </c>
      <c r="B805" t="s">
        <v>1578</v>
      </c>
      <c r="C805">
        <v>24570</v>
      </c>
    </row>
    <row r="806" spans="1:4" x14ac:dyDescent="0.25">
      <c r="A806" t="s">
        <v>1579</v>
      </c>
      <c r="B806" t="s">
        <v>1580</v>
      </c>
      <c r="C806">
        <v>24257</v>
      </c>
    </row>
    <row r="807" spans="1:4" x14ac:dyDescent="0.25">
      <c r="A807" t="s">
        <v>1581</v>
      </c>
      <c r="B807" t="s">
        <v>1582</v>
      </c>
      <c r="C807">
        <v>24258</v>
      </c>
    </row>
    <row r="808" spans="1:4" x14ac:dyDescent="0.25">
      <c r="A808" t="s">
        <v>1583</v>
      </c>
      <c r="C808">
        <v>42403</v>
      </c>
    </row>
    <row r="809" spans="1:4" x14ac:dyDescent="0.25">
      <c r="A809" t="s">
        <v>1584</v>
      </c>
      <c r="B809" t="s">
        <v>1585</v>
      </c>
      <c r="C809">
        <v>44657</v>
      </c>
    </row>
    <row r="810" spans="1:4" x14ac:dyDescent="0.25">
      <c r="A810" t="s">
        <v>1586</v>
      </c>
      <c r="C810">
        <v>42404</v>
      </c>
    </row>
    <row r="811" spans="1:4" x14ac:dyDescent="0.25">
      <c r="A811" t="s">
        <v>1587</v>
      </c>
      <c r="B811" t="s">
        <v>1588</v>
      </c>
      <c r="C811">
        <v>41409</v>
      </c>
    </row>
    <row r="812" spans="1:4" x14ac:dyDescent="0.25">
      <c r="A812" t="s">
        <v>1589</v>
      </c>
      <c r="B812" t="s">
        <v>1590</v>
      </c>
      <c r="C812">
        <v>43381</v>
      </c>
    </row>
    <row r="813" spans="1:4" x14ac:dyDescent="0.25">
      <c r="A813" t="s">
        <v>1591</v>
      </c>
      <c r="B813" t="s">
        <v>1592</v>
      </c>
      <c r="C813">
        <v>25109</v>
      </c>
    </row>
    <row r="814" spans="1:4" x14ac:dyDescent="0.25">
      <c r="A814" t="s">
        <v>1593</v>
      </c>
      <c r="B814" t="s">
        <v>1594</v>
      </c>
      <c r="C814">
        <v>48921</v>
      </c>
    </row>
    <row r="815" spans="1:4" x14ac:dyDescent="0.25">
      <c r="A815" t="s">
        <v>1595</v>
      </c>
      <c r="B815" t="s">
        <v>1596</v>
      </c>
      <c r="C815">
        <v>24837</v>
      </c>
    </row>
    <row r="816" spans="1:4" x14ac:dyDescent="0.25">
      <c r="A816" t="s">
        <v>1597</v>
      </c>
      <c r="B816" t="s">
        <v>1598</v>
      </c>
      <c r="C816">
        <v>25473</v>
      </c>
      <c r="D816" t="s">
        <v>211</v>
      </c>
    </row>
    <row r="817" spans="1:4" x14ac:dyDescent="0.25">
      <c r="A817" t="s">
        <v>1599</v>
      </c>
      <c r="B817" t="s">
        <v>1598</v>
      </c>
      <c r="C817">
        <v>25342</v>
      </c>
      <c r="D817" t="s">
        <v>211</v>
      </c>
    </row>
    <row r="818" spans="1:4" x14ac:dyDescent="0.25">
      <c r="A818" t="s">
        <v>1600</v>
      </c>
      <c r="B818" t="s">
        <v>1601</v>
      </c>
      <c r="C818">
        <v>24379</v>
      </c>
    </row>
    <row r="819" spans="1:4" x14ac:dyDescent="0.25">
      <c r="A819" t="s">
        <v>1602</v>
      </c>
      <c r="B819" t="s">
        <v>1603</v>
      </c>
      <c r="C819">
        <v>24292</v>
      </c>
      <c r="D819" t="s">
        <v>211</v>
      </c>
    </row>
    <row r="820" spans="1:4" x14ac:dyDescent="0.25">
      <c r="A820" t="s">
        <v>1604</v>
      </c>
      <c r="B820" t="s">
        <v>1605</v>
      </c>
      <c r="C820">
        <v>24632</v>
      </c>
      <c r="D820" t="s">
        <v>278</v>
      </c>
    </row>
    <row r="821" spans="1:4" x14ac:dyDescent="0.25">
      <c r="A821" t="s">
        <v>1606</v>
      </c>
      <c r="B821" t="s">
        <v>1607</v>
      </c>
      <c r="C821">
        <v>47938</v>
      </c>
    </row>
    <row r="822" spans="1:4" x14ac:dyDescent="0.25">
      <c r="A822" t="s">
        <v>1608</v>
      </c>
      <c r="B822" t="s">
        <v>1609</v>
      </c>
      <c r="C822">
        <v>24043</v>
      </c>
      <c r="D822" t="s">
        <v>211</v>
      </c>
    </row>
    <row r="823" spans="1:4" x14ac:dyDescent="0.25">
      <c r="A823" t="s">
        <v>1610</v>
      </c>
      <c r="B823" t="s">
        <v>1611</v>
      </c>
      <c r="C823">
        <v>47939</v>
      </c>
    </row>
    <row r="824" spans="1:4" x14ac:dyDescent="0.25">
      <c r="A824" t="s">
        <v>1612</v>
      </c>
      <c r="B824" t="s">
        <v>1611</v>
      </c>
      <c r="C824">
        <v>47940</v>
      </c>
    </row>
    <row r="825" spans="1:4" x14ac:dyDescent="0.25">
      <c r="A825" t="s">
        <v>1613</v>
      </c>
      <c r="B825" t="s">
        <v>1614</v>
      </c>
      <c r="C825">
        <v>25604</v>
      </c>
    </row>
    <row r="826" spans="1:4" x14ac:dyDescent="0.25">
      <c r="A826" t="s">
        <v>1615</v>
      </c>
      <c r="B826" t="s">
        <v>1614</v>
      </c>
      <c r="C826">
        <v>24437</v>
      </c>
    </row>
    <row r="827" spans="1:4" x14ac:dyDescent="0.25">
      <c r="A827" t="s">
        <v>1616</v>
      </c>
      <c r="B827" t="s">
        <v>1617</v>
      </c>
      <c r="C827">
        <v>25744</v>
      </c>
    </row>
    <row r="828" spans="1:4" x14ac:dyDescent="0.25">
      <c r="A828" t="s">
        <v>1618</v>
      </c>
      <c r="B828" t="s">
        <v>1617</v>
      </c>
      <c r="C828">
        <v>24813</v>
      </c>
    </row>
    <row r="829" spans="1:4" x14ac:dyDescent="0.25">
      <c r="A829" t="s">
        <v>1619</v>
      </c>
      <c r="B829" t="s">
        <v>1620</v>
      </c>
      <c r="C829">
        <v>25745</v>
      </c>
    </row>
    <row r="830" spans="1:4" x14ac:dyDescent="0.25">
      <c r="A830" t="s">
        <v>1621</v>
      </c>
      <c r="B830" t="s">
        <v>1622</v>
      </c>
      <c r="C830">
        <v>24815</v>
      </c>
    </row>
    <row r="831" spans="1:4" x14ac:dyDescent="0.25">
      <c r="A831" t="s">
        <v>1623</v>
      </c>
      <c r="B831" t="s">
        <v>1624</v>
      </c>
      <c r="C831">
        <v>47941</v>
      </c>
    </row>
    <row r="832" spans="1:4" x14ac:dyDescent="0.25">
      <c r="A832" t="s">
        <v>1625</v>
      </c>
      <c r="B832" t="s">
        <v>1626</v>
      </c>
      <c r="C832">
        <v>24816</v>
      </c>
    </row>
    <row r="833" spans="1:4" x14ac:dyDescent="0.25">
      <c r="A833" t="s">
        <v>1627</v>
      </c>
      <c r="B833" t="s">
        <v>1628</v>
      </c>
      <c r="C833">
        <v>30880</v>
      </c>
    </row>
    <row r="834" spans="1:4" x14ac:dyDescent="0.25">
      <c r="A834" t="s">
        <v>1629</v>
      </c>
      <c r="B834" t="s">
        <v>1630</v>
      </c>
      <c r="C834">
        <v>24817</v>
      </c>
    </row>
    <row r="835" spans="1:4" x14ac:dyDescent="0.25">
      <c r="A835" t="s">
        <v>1631</v>
      </c>
      <c r="B835" t="s">
        <v>1632</v>
      </c>
      <c r="C835">
        <v>25746</v>
      </c>
    </row>
    <row r="836" spans="1:4" x14ac:dyDescent="0.25">
      <c r="A836" t="s">
        <v>1633</v>
      </c>
      <c r="B836" t="s">
        <v>1632</v>
      </c>
      <c r="C836">
        <v>24818</v>
      </c>
    </row>
    <row r="837" spans="1:4" x14ac:dyDescent="0.25">
      <c r="A837" t="s">
        <v>1634</v>
      </c>
      <c r="B837" t="s">
        <v>1635</v>
      </c>
      <c r="C837">
        <v>25726</v>
      </c>
    </row>
    <row r="838" spans="1:4" x14ac:dyDescent="0.25">
      <c r="A838" t="s">
        <v>1636</v>
      </c>
      <c r="B838" t="s">
        <v>1635</v>
      </c>
      <c r="C838">
        <v>24760</v>
      </c>
    </row>
    <row r="839" spans="1:4" x14ac:dyDescent="0.25">
      <c r="A839" t="s">
        <v>1637</v>
      </c>
      <c r="B839" t="s">
        <v>1638</v>
      </c>
      <c r="C839">
        <v>48579</v>
      </c>
      <c r="D839" t="s">
        <v>231</v>
      </c>
    </row>
    <row r="840" spans="1:4" x14ac:dyDescent="0.25">
      <c r="A840" t="s">
        <v>1639</v>
      </c>
      <c r="B840" t="s">
        <v>1640</v>
      </c>
      <c r="C840">
        <v>24368</v>
      </c>
    </row>
    <row r="841" spans="1:4" x14ac:dyDescent="0.25">
      <c r="A841" t="s">
        <v>1641</v>
      </c>
      <c r="B841" t="s">
        <v>1642</v>
      </c>
      <c r="C841">
        <v>25591</v>
      </c>
    </row>
    <row r="842" spans="1:4" x14ac:dyDescent="0.25">
      <c r="A842" t="s">
        <v>1643</v>
      </c>
      <c r="B842" t="s">
        <v>1642</v>
      </c>
      <c r="C842">
        <v>24415</v>
      </c>
    </row>
    <row r="843" spans="1:4" x14ac:dyDescent="0.25">
      <c r="A843" t="s">
        <v>1644</v>
      </c>
      <c r="B843" t="s">
        <v>1645</v>
      </c>
      <c r="C843">
        <v>47943</v>
      </c>
    </row>
    <row r="844" spans="1:4" x14ac:dyDescent="0.25">
      <c r="A844" t="s">
        <v>1646</v>
      </c>
      <c r="B844" t="s">
        <v>1645</v>
      </c>
      <c r="C844">
        <v>47944</v>
      </c>
    </row>
    <row r="845" spans="1:4" x14ac:dyDescent="0.25">
      <c r="A845" t="s">
        <v>1647</v>
      </c>
      <c r="B845" t="s">
        <v>1648</v>
      </c>
      <c r="C845">
        <v>30910</v>
      </c>
    </row>
    <row r="846" spans="1:4" x14ac:dyDescent="0.25">
      <c r="A846" t="s">
        <v>1649</v>
      </c>
      <c r="B846" t="s">
        <v>1650</v>
      </c>
      <c r="C846">
        <v>25621</v>
      </c>
    </row>
    <row r="847" spans="1:4" x14ac:dyDescent="0.25">
      <c r="A847" t="s">
        <v>1651</v>
      </c>
      <c r="B847" t="s">
        <v>1650</v>
      </c>
      <c r="C847">
        <v>24471</v>
      </c>
    </row>
    <row r="848" spans="1:4" x14ac:dyDescent="0.25">
      <c r="A848" t="s">
        <v>1652</v>
      </c>
      <c r="B848" t="s">
        <v>1653</v>
      </c>
      <c r="C848">
        <v>25622</v>
      </c>
    </row>
    <row r="849" spans="1:4" x14ac:dyDescent="0.25">
      <c r="A849" t="s">
        <v>1654</v>
      </c>
      <c r="B849" t="s">
        <v>1653</v>
      </c>
      <c r="C849">
        <v>24472</v>
      </c>
    </row>
    <row r="850" spans="1:4" x14ac:dyDescent="0.25">
      <c r="A850" t="s">
        <v>1655</v>
      </c>
      <c r="B850" t="s">
        <v>1656</v>
      </c>
      <c r="C850">
        <v>24473</v>
      </c>
      <c r="D850" t="s">
        <v>211</v>
      </c>
    </row>
    <row r="851" spans="1:4" x14ac:dyDescent="0.25">
      <c r="A851" t="s">
        <v>1657</v>
      </c>
      <c r="B851" t="s">
        <v>1658</v>
      </c>
      <c r="C851">
        <v>25623</v>
      </c>
    </row>
    <row r="852" spans="1:4" x14ac:dyDescent="0.25">
      <c r="A852" t="s">
        <v>1659</v>
      </c>
      <c r="B852" t="s">
        <v>1658</v>
      </c>
      <c r="C852">
        <v>24474</v>
      </c>
    </row>
    <row r="853" spans="1:4" x14ac:dyDescent="0.25">
      <c r="A853" t="s">
        <v>1660</v>
      </c>
      <c r="B853" t="s">
        <v>1661</v>
      </c>
      <c r="C853">
        <v>25624</v>
      </c>
      <c r="D853" t="s">
        <v>491</v>
      </c>
    </row>
    <row r="854" spans="1:4" x14ac:dyDescent="0.25">
      <c r="A854" t="s">
        <v>1662</v>
      </c>
      <c r="B854" t="s">
        <v>1663</v>
      </c>
      <c r="C854">
        <v>30911</v>
      </c>
      <c r="D854" t="s">
        <v>491</v>
      </c>
    </row>
    <row r="855" spans="1:4" x14ac:dyDescent="0.25">
      <c r="A855" t="s">
        <v>1664</v>
      </c>
      <c r="B855" t="s">
        <v>1665</v>
      </c>
      <c r="C855">
        <v>24475</v>
      </c>
      <c r="D855" t="s">
        <v>491</v>
      </c>
    </row>
    <row r="856" spans="1:4" x14ac:dyDescent="0.25">
      <c r="A856" t="s">
        <v>1666</v>
      </c>
      <c r="B856" t="s">
        <v>1667</v>
      </c>
      <c r="C856">
        <v>24476</v>
      </c>
    </row>
    <row r="857" spans="1:4" x14ac:dyDescent="0.25">
      <c r="A857" t="s">
        <v>1668</v>
      </c>
      <c r="B857" t="s">
        <v>1669</v>
      </c>
      <c r="C857">
        <v>25677</v>
      </c>
    </row>
    <row r="858" spans="1:4" x14ac:dyDescent="0.25">
      <c r="A858" t="s">
        <v>1670</v>
      </c>
      <c r="B858" t="s">
        <v>1671</v>
      </c>
      <c r="C858">
        <v>24616</v>
      </c>
    </row>
    <row r="859" spans="1:4" x14ac:dyDescent="0.25">
      <c r="A859" t="s">
        <v>1672</v>
      </c>
      <c r="B859" t="s">
        <v>1673</v>
      </c>
      <c r="C859">
        <v>24617</v>
      </c>
      <c r="D859" t="s">
        <v>231</v>
      </c>
    </row>
    <row r="860" spans="1:4" x14ac:dyDescent="0.25">
      <c r="A860" t="s">
        <v>1674</v>
      </c>
      <c r="B860" t="s">
        <v>1675</v>
      </c>
      <c r="C860">
        <v>24189</v>
      </c>
      <c r="D860" t="s">
        <v>278</v>
      </c>
    </row>
    <row r="861" spans="1:4" x14ac:dyDescent="0.25">
      <c r="A861" t="s">
        <v>1676</v>
      </c>
      <c r="B861" t="s">
        <v>1677</v>
      </c>
      <c r="C861">
        <v>24041</v>
      </c>
    </row>
    <row r="862" spans="1:4" x14ac:dyDescent="0.25">
      <c r="A862" t="s">
        <v>1678</v>
      </c>
      <c r="B862" t="s">
        <v>1679</v>
      </c>
      <c r="C862">
        <v>24053</v>
      </c>
    </row>
    <row r="863" spans="1:4" x14ac:dyDescent="0.25">
      <c r="A863" t="s">
        <v>1680</v>
      </c>
      <c r="B863" t="s">
        <v>1681</v>
      </c>
      <c r="C863">
        <v>33948</v>
      </c>
      <c r="D863" t="s">
        <v>252</v>
      </c>
    </row>
    <row r="864" spans="1:4" x14ac:dyDescent="0.25">
      <c r="A864" t="s">
        <v>1682</v>
      </c>
      <c r="B864" t="s">
        <v>1683</v>
      </c>
      <c r="C864">
        <v>30915</v>
      </c>
    </row>
    <row r="865" spans="1:4" x14ac:dyDescent="0.25">
      <c r="A865" t="s">
        <v>1684</v>
      </c>
      <c r="B865" t="s">
        <v>1683</v>
      </c>
      <c r="C865">
        <v>30912</v>
      </c>
    </row>
    <row r="866" spans="1:4" x14ac:dyDescent="0.25">
      <c r="A866" t="s">
        <v>1685</v>
      </c>
      <c r="B866" t="s">
        <v>1686</v>
      </c>
      <c r="C866">
        <v>25327</v>
      </c>
    </row>
    <row r="867" spans="1:4" x14ac:dyDescent="0.25">
      <c r="A867" t="s">
        <v>1687</v>
      </c>
      <c r="B867" t="s">
        <v>1688</v>
      </c>
      <c r="C867">
        <v>24477</v>
      </c>
      <c r="D867" t="s">
        <v>267</v>
      </c>
    </row>
    <row r="868" spans="1:4" x14ac:dyDescent="0.25">
      <c r="A868" t="s">
        <v>1689</v>
      </c>
      <c r="B868" t="s">
        <v>1690</v>
      </c>
      <c r="C868">
        <v>24478</v>
      </c>
      <c r="D868" t="s">
        <v>267</v>
      </c>
    </row>
    <row r="869" spans="1:4" x14ac:dyDescent="0.25">
      <c r="A869" t="s">
        <v>1691</v>
      </c>
      <c r="B869" t="s">
        <v>1690</v>
      </c>
      <c r="C869">
        <v>47945</v>
      </c>
      <c r="D869" t="s">
        <v>267</v>
      </c>
    </row>
    <row r="870" spans="1:4" x14ac:dyDescent="0.25">
      <c r="A870" t="s">
        <v>1692</v>
      </c>
      <c r="B870" t="s">
        <v>1693</v>
      </c>
      <c r="C870">
        <v>24479</v>
      </c>
      <c r="D870" t="s">
        <v>267</v>
      </c>
    </row>
    <row r="871" spans="1:4" x14ac:dyDescent="0.25">
      <c r="A871" t="s">
        <v>1694</v>
      </c>
      <c r="B871" t="s">
        <v>1695</v>
      </c>
      <c r="C871">
        <v>47947</v>
      </c>
    </row>
    <row r="872" spans="1:4" x14ac:dyDescent="0.25">
      <c r="A872" t="s">
        <v>1696</v>
      </c>
      <c r="B872" t="s">
        <v>1695</v>
      </c>
      <c r="C872">
        <v>47948</v>
      </c>
    </row>
    <row r="873" spans="1:4" x14ac:dyDescent="0.25">
      <c r="A873" t="s">
        <v>1697</v>
      </c>
      <c r="B873" t="s">
        <v>1698</v>
      </c>
      <c r="C873">
        <v>25727</v>
      </c>
    </row>
    <row r="874" spans="1:4" x14ac:dyDescent="0.25">
      <c r="A874" t="s">
        <v>1699</v>
      </c>
      <c r="B874" t="s">
        <v>1698</v>
      </c>
      <c r="C874">
        <v>24761</v>
      </c>
    </row>
    <row r="875" spans="1:4" x14ac:dyDescent="0.25">
      <c r="A875" t="s">
        <v>1700</v>
      </c>
      <c r="B875" t="s">
        <v>1701</v>
      </c>
      <c r="C875">
        <v>24688</v>
      </c>
    </row>
    <row r="876" spans="1:4" x14ac:dyDescent="0.25">
      <c r="A876" t="s">
        <v>1702</v>
      </c>
      <c r="B876" t="s">
        <v>1703</v>
      </c>
      <c r="C876">
        <v>30916</v>
      </c>
    </row>
    <row r="877" spans="1:4" x14ac:dyDescent="0.25">
      <c r="A877" t="s">
        <v>1704</v>
      </c>
      <c r="B877" t="s">
        <v>1705</v>
      </c>
      <c r="C877">
        <v>25301</v>
      </c>
    </row>
    <row r="878" spans="1:4" x14ac:dyDescent="0.25">
      <c r="A878" t="s">
        <v>1706</v>
      </c>
      <c r="B878" t="s">
        <v>1707</v>
      </c>
      <c r="C878">
        <v>34028</v>
      </c>
    </row>
    <row r="879" spans="1:4" x14ac:dyDescent="0.25">
      <c r="A879" t="s">
        <v>1708</v>
      </c>
      <c r="B879" t="s">
        <v>1709</v>
      </c>
      <c r="C879">
        <v>39404</v>
      </c>
    </row>
    <row r="880" spans="1:4" x14ac:dyDescent="0.25">
      <c r="A880" t="s">
        <v>1710</v>
      </c>
      <c r="B880" t="s">
        <v>1711</v>
      </c>
      <c r="C880">
        <v>48922</v>
      </c>
      <c r="D880" t="s">
        <v>408</v>
      </c>
    </row>
    <row r="881" spans="1:4" x14ac:dyDescent="0.25">
      <c r="A881" t="s">
        <v>1712</v>
      </c>
      <c r="B881" t="s">
        <v>1713</v>
      </c>
      <c r="C881">
        <v>34026</v>
      </c>
      <c r="D881" t="s">
        <v>211</v>
      </c>
    </row>
    <row r="882" spans="1:4" x14ac:dyDescent="0.25">
      <c r="A882" t="s">
        <v>1714</v>
      </c>
      <c r="B882" t="s">
        <v>1715</v>
      </c>
      <c r="C882">
        <v>34027</v>
      </c>
      <c r="D882" t="s">
        <v>408</v>
      </c>
    </row>
    <row r="883" spans="1:4" x14ac:dyDescent="0.25">
      <c r="A883" t="s">
        <v>1716</v>
      </c>
      <c r="B883" t="s">
        <v>1717</v>
      </c>
      <c r="C883">
        <v>24791</v>
      </c>
      <c r="D883" t="s">
        <v>267</v>
      </c>
    </row>
    <row r="884" spans="1:4" x14ac:dyDescent="0.25">
      <c r="A884" t="s">
        <v>1718</v>
      </c>
      <c r="B884" t="s">
        <v>1719</v>
      </c>
      <c r="C884">
        <v>24792</v>
      </c>
      <c r="D884" t="s">
        <v>267</v>
      </c>
    </row>
    <row r="885" spans="1:4" x14ac:dyDescent="0.25">
      <c r="A885" t="s">
        <v>1720</v>
      </c>
      <c r="B885" t="s">
        <v>1721</v>
      </c>
      <c r="C885">
        <v>24793</v>
      </c>
      <c r="D885" t="s">
        <v>267</v>
      </c>
    </row>
    <row r="886" spans="1:4" x14ac:dyDescent="0.25">
      <c r="A886" t="s">
        <v>1722</v>
      </c>
      <c r="B886" t="s">
        <v>1723</v>
      </c>
      <c r="C886">
        <v>25729</v>
      </c>
    </row>
    <row r="887" spans="1:4" x14ac:dyDescent="0.25">
      <c r="A887" t="s">
        <v>1724</v>
      </c>
      <c r="B887" t="s">
        <v>1723</v>
      </c>
      <c r="C887">
        <v>24763</v>
      </c>
    </row>
    <row r="888" spans="1:4" x14ac:dyDescent="0.25">
      <c r="A888" t="s">
        <v>1725</v>
      </c>
      <c r="B888" t="s">
        <v>1726</v>
      </c>
      <c r="C888">
        <v>25730</v>
      </c>
    </row>
    <row r="889" spans="1:4" x14ac:dyDescent="0.25">
      <c r="A889" t="s">
        <v>1727</v>
      </c>
      <c r="B889" t="s">
        <v>1726</v>
      </c>
      <c r="C889">
        <v>24765</v>
      </c>
    </row>
    <row r="890" spans="1:4" x14ac:dyDescent="0.25">
      <c r="A890" t="s">
        <v>1728</v>
      </c>
      <c r="B890" t="s">
        <v>1729</v>
      </c>
      <c r="C890">
        <v>47950</v>
      </c>
    </row>
    <row r="891" spans="1:4" x14ac:dyDescent="0.25">
      <c r="A891" t="s">
        <v>1730</v>
      </c>
      <c r="B891" t="s">
        <v>1731</v>
      </c>
      <c r="C891">
        <v>42314</v>
      </c>
    </row>
    <row r="892" spans="1:4" x14ac:dyDescent="0.25">
      <c r="A892" t="s">
        <v>1732</v>
      </c>
      <c r="B892" t="s">
        <v>1731</v>
      </c>
      <c r="C892">
        <v>47951</v>
      </c>
    </row>
    <row r="893" spans="1:4" x14ac:dyDescent="0.25">
      <c r="A893" t="s">
        <v>1733</v>
      </c>
      <c r="C893">
        <v>24952</v>
      </c>
    </row>
    <row r="894" spans="1:4" x14ac:dyDescent="0.25">
      <c r="A894" t="s">
        <v>1734</v>
      </c>
      <c r="B894" t="s">
        <v>1735</v>
      </c>
      <c r="C894">
        <v>48923</v>
      </c>
    </row>
    <row r="895" spans="1:4" x14ac:dyDescent="0.25">
      <c r="A895" t="s">
        <v>1736</v>
      </c>
      <c r="C895">
        <v>30819</v>
      </c>
    </row>
    <row r="896" spans="1:4" x14ac:dyDescent="0.25">
      <c r="A896" t="s">
        <v>1737</v>
      </c>
      <c r="C896">
        <v>30820</v>
      </c>
    </row>
    <row r="897" spans="1:4" x14ac:dyDescent="0.25">
      <c r="A897" t="s">
        <v>1738</v>
      </c>
      <c r="C897">
        <v>30821</v>
      </c>
    </row>
    <row r="898" spans="1:4" x14ac:dyDescent="0.25">
      <c r="A898" t="s">
        <v>1739</v>
      </c>
      <c r="C898">
        <v>24953</v>
      </c>
    </row>
    <row r="899" spans="1:4" x14ac:dyDescent="0.25">
      <c r="A899" t="s">
        <v>1740</v>
      </c>
      <c r="B899" t="s">
        <v>1741</v>
      </c>
      <c r="C899">
        <v>42405</v>
      </c>
    </row>
    <row r="900" spans="1:4" x14ac:dyDescent="0.25">
      <c r="A900" t="s">
        <v>1742</v>
      </c>
      <c r="C900">
        <v>24954</v>
      </c>
    </row>
    <row r="901" spans="1:4" x14ac:dyDescent="0.25">
      <c r="A901" t="s">
        <v>1743</v>
      </c>
      <c r="C901">
        <v>24955</v>
      </c>
    </row>
    <row r="902" spans="1:4" x14ac:dyDescent="0.25">
      <c r="A902" t="s">
        <v>1744</v>
      </c>
      <c r="C902">
        <v>24956</v>
      </c>
    </row>
    <row r="903" spans="1:4" x14ac:dyDescent="0.25">
      <c r="A903" t="s">
        <v>1745</v>
      </c>
      <c r="B903" t="s">
        <v>1746</v>
      </c>
      <c r="C903">
        <v>48924</v>
      </c>
    </row>
    <row r="904" spans="1:4" x14ac:dyDescent="0.25">
      <c r="A904" t="s">
        <v>1747</v>
      </c>
      <c r="B904" t="s">
        <v>1748</v>
      </c>
      <c r="C904">
        <v>48925</v>
      </c>
    </row>
    <row r="905" spans="1:4" x14ac:dyDescent="0.25">
      <c r="A905" t="s">
        <v>1749</v>
      </c>
      <c r="B905" t="s">
        <v>1750</v>
      </c>
      <c r="C905">
        <v>47952</v>
      </c>
    </row>
    <row r="906" spans="1:4" x14ac:dyDescent="0.25">
      <c r="A906" t="s">
        <v>1751</v>
      </c>
      <c r="C906">
        <v>24958</v>
      </c>
    </row>
    <row r="907" spans="1:4" x14ac:dyDescent="0.25">
      <c r="A907" t="s">
        <v>1752</v>
      </c>
      <c r="C907">
        <v>24957</v>
      </c>
    </row>
    <row r="908" spans="1:4" x14ac:dyDescent="0.25">
      <c r="A908" t="s">
        <v>1753</v>
      </c>
      <c r="B908" t="s">
        <v>1754</v>
      </c>
      <c r="C908">
        <v>42406</v>
      </c>
    </row>
    <row r="909" spans="1:4" x14ac:dyDescent="0.25">
      <c r="A909" t="s">
        <v>1755</v>
      </c>
      <c r="C909">
        <v>24959</v>
      </c>
    </row>
    <row r="910" spans="1:4" x14ac:dyDescent="0.25">
      <c r="A910" t="s">
        <v>1756</v>
      </c>
      <c r="B910" t="s">
        <v>1757</v>
      </c>
      <c r="C910">
        <v>24960</v>
      </c>
    </row>
    <row r="911" spans="1:4" x14ac:dyDescent="0.25">
      <c r="A911" t="s">
        <v>1758</v>
      </c>
      <c r="B911" t="s">
        <v>1759</v>
      </c>
      <c r="C911">
        <v>47954</v>
      </c>
      <c r="D911" t="s">
        <v>267</v>
      </c>
    </row>
    <row r="912" spans="1:4" x14ac:dyDescent="0.25">
      <c r="A912" t="s">
        <v>1760</v>
      </c>
      <c r="B912" t="s">
        <v>1759</v>
      </c>
      <c r="C912">
        <v>47955</v>
      </c>
      <c r="D912" t="s">
        <v>267</v>
      </c>
    </row>
    <row r="913" spans="1:4" x14ac:dyDescent="0.25">
      <c r="A913" t="s">
        <v>1761</v>
      </c>
      <c r="B913" t="s">
        <v>1759</v>
      </c>
      <c r="C913">
        <v>47956</v>
      </c>
      <c r="D913" t="s">
        <v>267</v>
      </c>
    </row>
    <row r="914" spans="1:4" x14ac:dyDescent="0.25">
      <c r="A914" t="s">
        <v>1762</v>
      </c>
      <c r="B914" t="s">
        <v>1763</v>
      </c>
      <c r="C914">
        <v>25403</v>
      </c>
      <c r="D914" t="s">
        <v>281</v>
      </c>
    </row>
    <row r="915" spans="1:4" x14ac:dyDescent="0.25">
      <c r="A915" t="s">
        <v>1764</v>
      </c>
      <c r="B915" t="s">
        <v>1765</v>
      </c>
      <c r="C915">
        <v>25404</v>
      </c>
    </row>
    <row r="916" spans="1:4" x14ac:dyDescent="0.25">
      <c r="A916" t="s">
        <v>1766</v>
      </c>
      <c r="B916" t="s">
        <v>1767</v>
      </c>
      <c r="C916">
        <v>25405</v>
      </c>
      <c r="D916" t="s">
        <v>278</v>
      </c>
    </row>
    <row r="917" spans="1:4" x14ac:dyDescent="0.25">
      <c r="A917" t="s">
        <v>1768</v>
      </c>
      <c r="B917" t="s">
        <v>1769</v>
      </c>
      <c r="C917">
        <v>25406</v>
      </c>
    </row>
    <row r="918" spans="1:4" x14ac:dyDescent="0.25">
      <c r="A918" t="s">
        <v>1770</v>
      </c>
      <c r="B918" t="s">
        <v>1771</v>
      </c>
      <c r="C918">
        <v>25407</v>
      </c>
      <c r="D918" t="s">
        <v>211</v>
      </c>
    </row>
    <row r="919" spans="1:4" x14ac:dyDescent="0.25">
      <c r="A919" t="s">
        <v>1772</v>
      </c>
      <c r="B919" t="s">
        <v>1773</v>
      </c>
      <c r="C919">
        <v>48163</v>
      </c>
    </row>
    <row r="920" spans="1:4" x14ac:dyDescent="0.25">
      <c r="A920" t="s">
        <v>1774</v>
      </c>
      <c r="B920" t="s">
        <v>1775</v>
      </c>
      <c r="C920">
        <v>24401</v>
      </c>
    </row>
    <row r="921" spans="1:4" x14ac:dyDescent="0.25">
      <c r="A921" t="s">
        <v>1776</v>
      </c>
      <c r="B921" t="s">
        <v>1777</v>
      </c>
      <c r="C921">
        <v>24402</v>
      </c>
    </row>
    <row r="922" spans="1:4" x14ac:dyDescent="0.25">
      <c r="A922" t="s">
        <v>1778</v>
      </c>
      <c r="B922" t="s">
        <v>1779</v>
      </c>
      <c r="C922">
        <v>25585</v>
      </c>
    </row>
    <row r="923" spans="1:4" x14ac:dyDescent="0.25">
      <c r="A923" t="s">
        <v>1780</v>
      </c>
      <c r="B923" t="s">
        <v>1781</v>
      </c>
      <c r="C923">
        <v>24403</v>
      </c>
    </row>
    <row r="924" spans="1:4" x14ac:dyDescent="0.25">
      <c r="A924" t="s">
        <v>1782</v>
      </c>
      <c r="B924" t="s">
        <v>1783</v>
      </c>
      <c r="C924">
        <v>24404</v>
      </c>
    </row>
    <row r="925" spans="1:4" x14ac:dyDescent="0.25">
      <c r="A925" t="s">
        <v>1784</v>
      </c>
      <c r="B925" t="s">
        <v>1783</v>
      </c>
      <c r="C925">
        <v>47957</v>
      </c>
    </row>
    <row r="926" spans="1:4" x14ac:dyDescent="0.25">
      <c r="A926" t="s">
        <v>1785</v>
      </c>
      <c r="B926" t="s">
        <v>1783</v>
      </c>
      <c r="C926">
        <v>47958</v>
      </c>
    </row>
    <row r="927" spans="1:4" x14ac:dyDescent="0.25">
      <c r="A927" t="s">
        <v>1786</v>
      </c>
      <c r="B927" t="s">
        <v>1787</v>
      </c>
      <c r="C927">
        <v>25586</v>
      </c>
    </row>
    <row r="928" spans="1:4" x14ac:dyDescent="0.25">
      <c r="A928" t="s">
        <v>1788</v>
      </c>
      <c r="B928" t="s">
        <v>1789</v>
      </c>
      <c r="C928">
        <v>24405</v>
      </c>
      <c r="D928" t="s">
        <v>211</v>
      </c>
    </row>
    <row r="929" spans="1:4" x14ac:dyDescent="0.25">
      <c r="A929" t="s">
        <v>1790</v>
      </c>
      <c r="B929" t="s">
        <v>1791</v>
      </c>
      <c r="C929">
        <v>24406</v>
      </c>
      <c r="D929" t="s">
        <v>278</v>
      </c>
    </row>
    <row r="930" spans="1:4" x14ac:dyDescent="0.25">
      <c r="A930" t="s">
        <v>1792</v>
      </c>
      <c r="B930" t="s">
        <v>1793</v>
      </c>
      <c r="C930">
        <v>34030</v>
      </c>
      <c r="D930" t="s">
        <v>231</v>
      </c>
    </row>
    <row r="931" spans="1:4" x14ac:dyDescent="0.25">
      <c r="A931" t="s">
        <v>1794</v>
      </c>
      <c r="B931" t="s">
        <v>1795</v>
      </c>
      <c r="C931">
        <v>42315</v>
      </c>
    </row>
    <row r="932" spans="1:4" x14ac:dyDescent="0.25">
      <c r="A932" t="s">
        <v>1796</v>
      </c>
      <c r="B932" t="s">
        <v>1795</v>
      </c>
      <c r="C932">
        <v>42316</v>
      </c>
    </row>
    <row r="933" spans="1:4" x14ac:dyDescent="0.25">
      <c r="A933" t="s">
        <v>1797</v>
      </c>
      <c r="B933" t="s">
        <v>1798</v>
      </c>
      <c r="C933">
        <v>25530</v>
      </c>
    </row>
    <row r="934" spans="1:4" x14ac:dyDescent="0.25">
      <c r="A934" t="s">
        <v>1799</v>
      </c>
      <c r="B934" t="s">
        <v>1798</v>
      </c>
      <c r="C934">
        <v>24271</v>
      </c>
    </row>
    <row r="935" spans="1:4" x14ac:dyDescent="0.25">
      <c r="A935" t="s">
        <v>1800</v>
      </c>
      <c r="B935" t="s">
        <v>1801</v>
      </c>
      <c r="C935">
        <v>47959</v>
      </c>
    </row>
    <row r="936" spans="1:4" x14ac:dyDescent="0.25">
      <c r="A936" t="s">
        <v>1802</v>
      </c>
      <c r="B936" t="s">
        <v>1803</v>
      </c>
      <c r="C936">
        <v>25531</v>
      </c>
    </row>
    <row r="937" spans="1:4" x14ac:dyDescent="0.25">
      <c r="A937" t="s">
        <v>1804</v>
      </c>
      <c r="B937" t="s">
        <v>1803</v>
      </c>
      <c r="C937">
        <v>24273</v>
      </c>
    </row>
    <row r="938" spans="1:4" x14ac:dyDescent="0.25">
      <c r="A938" t="s">
        <v>1805</v>
      </c>
      <c r="B938" t="s">
        <v>1806</v>
      </c>
      <c r="C938">
        <v>25532</v>
      </c>
    </row>
    <row r="939" spans="1:4" x14ac:dyDescent="0.25">
      <c r="A939" t="s">
        <v>1807</v>
      </c>
      <c r="B939" t="s">
        <v>1806</v>
      </c>
      <c r="C939">
        <v>24274</v>
      </c>
    </row>
    <row r="940" spans="1:4" x14ac:dyDescent="0.25">
      <c r="A940" t="s">
        <v>1808</v>
      </c>
      <c r="B940" t="s">
        <v>1809</v>
      </c>
      <c r="C940">
        <v>25533</v>
      </c>
    </row>
    <row r="941" spans="1:4" x14ac:dyDescent="0.25">
      <c r="A941" t="s">
        <v>1810</v>
      </c>
      <c r="B941" t="s">
        <v>1809</v>
      </c>
      <c r="C941">
        <v>24275</v>
      </c>
    </row>
    <row r="942" spans="1:4" x14ac:dyDescent="0.25">
      <c r="A942" t="s">
        <v>1811</v>
      </c>
      <c r="B942" t="s">
        <v>1812</v>
      </c>
      <c r="C942">
        <v>24276</v>
      </c>
    </row>
    <row r="943" spans="1:4" x14ac:dyDescent="0.25">
      <c r="A943" t="s">
        <v>1813</v>
      </c>
      <c r="B943" t="s">
        <v>1814</v>
      </c>
      <c r="C943">
        <v>34114</v>
      </c>
      <c r="D943" t="s">
        <v>231</v>
      </c>
    </row>
    <row r="944" spans="1:4" x14ac:dyDescent="0.25">
      <c r="A944" t="s">
        <v>1815</v>
      </c>
      <c r="C944">
        <v>25111</v>
      </c>
    </row>
    <row r="945" spans="1:4" x14ac:dyDescent="0.25">
      <c r="A945" t="s">
        <v>1816</v>
      </c>
      <c r="B945" t="s">
        <v>1817</v>
      </c>
      <c r="C945">
        <v>24481</v>
      </c>
      <c r="D945" t="s">
        <v>267</v>
      </c>
    </row>
    <row r="946" spans="1:4" x14ac:dyDescent="0.25">
      <c r="A946" t="s">
        <v>1818</v>
      </c>
      <c r="B946" t="s">
        <v>1819</v>
      </c>
      <c r="C946">
        <v>24054</v>
      </c>
    </row>
    <row r="947" spans="1:4" x14ac:dyDescent="0.25">
      <c r="A947" t="s">
        <v>1820</v>
      </c>
      <c r="B947" t="s">
        <v>1821</v>
      </c>
      <c r="C947">
        <v>24055</v>
      </c>
    </row>
    <row r="948" spans="1:4" x14ac:dyDescent="0.25">
      <c r="A948" t="s">
        <v>1822</v>
      </c>
      <c r="B948" t="s">
        <v>1821</v>
      </c>
      <c r="C948">
        <v>47960</v>
      </c>
    </row>
    <row r="949" spans="1:4" x14ac:dyDescent="0.25">
      <c r="A949" t="s">
        <v>1823</v>
      </c>
      <c r="B949" t="s">
        <v>1824</v>
      </c>
      <c r="C949">
        <v>30918</v>
      </c>
    </row>
    <row r="950" spans="1:4" x14ac:dyDescent="0.25">
      <c r="A950" t="s">
        <v>1825</v>
      </c>
      <c r="B950" t="s">
        <v>1826</v>
      </c>
      <c r="C950">
        <v>48581</v>
      </c>
      <c r="D950" t="s">
        <v>252</v>
      </c>
    </row>
    <row r="951" spans="1:4" x14ac:dyDescent="0.25">
      <c r="A951" t="s">
        <v>1827</v>
      </c>
      <c r="B951" t="s">
        <v>1828</v>
      </c>
      <c r="C951">
        <v>47962</v>
      </c>
    </row>
    <row r="952" spans="1:4" x14ac:dyDescent="0.25">
      <c r="A952" t="s">
        <v>1829</v>
      </c>
      <c r="B952" t="s">
        <v>1828</v>
      </c>
      <c r="C952">
        <v>47963</v>
      </c>
    </row>
    <row r="953" spans="1:4" x14ac:dyDescent="0.25">
      <c r="A953" t="s">
        <v>1830</v>
      </c>
      <c r="B953" t="s">
        <v>1831</v>
      </c>
      <c r="C953">
        <v>34151</v>
      </c>
      <c r="D953" t="s">
        <v>319</v>
      </c>
    </row>
    <row r="954" spans="1:4" x14ac:dyDescent="0.25">
      <c r="A954" t="s">
        <v>1832</v>
      </c>
      <c r="B954" t="s">
        <v>1833</v>
      </c>
      <c r="C954">
        <v>24443</v>
      </c>
    </row>
    <row r="955" spans="1:4" x14ac:dyDescent="0.25">
      <c r="A955" t="s">
        <v>1834</v>
      </c>
      <c r="B955" t="s">
        <v>1835</v>
      </c>
      <c r="C955">
        <v>24056</v>
      </c>
    </row>
    <row r="956" spans="1:4" x14ac:dyDescent="0.25">
      <c r="A956" t="s">
        <v>1836</v>
      </c>
      <c r="B956" t="s">
        <v>1837</v>
      </c>
      <c r="C956">
        <v>24571</v>
      </c>
    </row>
    <row r="957" spans="1:4" x14ac:dyDescent="0.25">
      <c r="A957" t="s">
        <v>1838</v>
      </c>
      <c r="B957" t="s">
        <v>1839</v>
      </c>
      <c r="C957">
        <v>25626</v>
      </c>
    </row>
    <row r="958" spans="1:4" x14ac:dyDescent="0.25">
      <c r="A958" t="s">
        <v>1840</v>
      </c>
      <c r="B958" t="s">
        <v>1839</v>
      </c>
      <c r="C958">
        <v>24483</v>
      </c>
    </row>
    <row r="959" spans="1:4" x14ac:dyDescent="0.25">
      <c r="A959" t="s">
        <v>1841</v>
      </c>
      <c r="B959" t="s">
        <v>1842</v>
      </c>
      <c r="C959">
        <v>24484</v>
      </c>
    </row>
    <row r="960" spans="1:4" x14ac:dyDescent="0.25">
      <c r="A960" t="s">
        <v>1843</v>
      </c>
      <c r="B960" t="s">
        <v>1844</v>
      </c>
      <c r="C960">
        <v>30853</v>
      </c>
    </row>
    <row r="961" spans="1:4" x14ac:dyDescent="0.25">
      <c r="A961" t="s">
        <v>1845</v>
      </c>
      <c r="B961" t="s">
        <v>1846</v>
      </c>
      <c r="C961">
        <v>34079</v>
      </c>
      <c r="D961" t="s">
        <v>252</v>
      </c>
    </row>
    <row r="962" spans="1:4" x14ac:dyDescent="0.25">
      <c r="A962" t="s">
        <v>1847</v>
      </c>
      <c r="B962" t="s">
        <v>1848</v>
      </c>
      <c r="C962">
        <v>25627</v>
      </c>
    </row>
    <row r="963" spans="1:4" x14ac:dyDescent="0.25">
      <c r="A963" t="s">
        <v>1849</v>
      </c>
      <c r="B963" t="s">
        <v>1848</v>
      </c>
      <c r="C963">
        <v>24485</v>
      </c>
    </row>
    <row r="964" spans="1:4" x14ac:dyDescent="0.25">
      <c r="A964" t="s">
        <v>1850</v>
      </c>
      <c r="B964" t="s">
        <v>1848</v>
      </c>
      <c r="C964">
        <v>24486</v>
      </c>
    </row>
    <row r="965" spans="1:4" x14ac:dyDescent="0.25">
      <c r="A965" t="s">
        <v>1851</v>
      </c>
      <c r="B965" t="s">
        <v>1852</v>
      </c>
      <c r="C965">
        <v>24487</v>
      </c>
    </row>
    <row r="966" spans="1:4" x14ac:dyDescent="0.25">
      <c r="A966" t="s">
        <v>1853</v>
      </c>
      <c r="B966" t="s">
        <v>1854</v>
      </c>
      <c r="C966">
        <v>30858</v>
      </c>
    </row>
    <row r="967" spans="1:4" x14ac:dyDescent="0.25">
      <c r="A967" t="s">
        <v>1855</v>
      </c>
      <c r="B967" t="s">
        <v>1856</v>
      </c>
      <c r="C967">
        <v>49209</v>
      </c>
    </row>
    <row r="968" spans="1:4" x14ac:dyDescent="0.25">
      <c r="A968" t="s">
        <v>1857</v>
      </c>
      <c r="B968" t="s">
        <v>1856</v>
      </c>
      <c r="C968">
        <v>49210</v>
      </c>
    </row>
    <row r="969" spans="1:4" x14ac:dyDescent="0.25">
      <c r="A969" t="s">
        <v>1858</v>
      </c>
      <c r="B969" t="s">
        <v>1859</v>
      </c>
      <c r="C969">
        <v>24293</v>
      </c>
    </row>
    <row r="970" spans="1:4" x14ac:dyDescent="0.25">
      <c r="A970" t="s">
        <v>1860</v>
      </c>
      <c r="B970" t="s">
        <v>1861</v>
      </c>
      <c r="C970">
        <v>25541</v>
      </c>
    </row>
    <row r="971" spans="1:4" x14ac:dyDescent="0.25">
      <c r="A971" t="s">
        <v>1862</v>
      </c>
      <c r="B971" t="s">
        <v>1861</v>
      </c>
      <c r="C971">
        <v>24294</v>
      </c>
    </row>
    <row r="972" spans="1:4" x14ac:dyDescent="0.25">
      <c r="A972" t="s">
        <v>1863</v>
      </c>
      <c r="B972" t="s">
        <v>1864</v>
      </c>
      <c r="C972">
        <v>24295</v>
      </c>
    </row>
    <row r="973" spans="1:4" x14ac:dyDescent="0.25">
      <c r="A973" t="s">
        <v>1865</v>
      </c>
      <c r="B973" t="s">
        <v>1866</v>
      </c>
      <c r="C973">
        <v>24689</v>
      </c>
    </row>
    <row r="974" spans="1:4" x14ac:dyDescent="0.25">
      <c r="A974" t="s">
        <v>1867</v>
      </c>
      <c r="B974" t="s">
        <v>1868</v>
      </c>
      <c r="C974">
        <v>24296</v>
      </c>
    </row>
    <row r="975" spans="1:4" x14ac:dyDescent="0.25">
      <c r="A975" t="s">
        <v>1869</v>
      </c>
      <c r="B975" t="s">
        <v>1870</v>
      </c>
      <c r="C975">
        <v>24297</v>
      </c>
    </row>
    <row r="976" spans="1:4" x14ac:dyDescent="0.25">
      <c r="A976" t="s">
        <v>1871</v>
      </c>
      <c r="B976" t="s">
        <v>1872</v>
      </c>
      <c r="C976">
        <v>34040</v>
      </c>
      <c r="D976" t="s">
        <v>319</v>
      </c>
    </row>
    <row r="977" spans="1:4" x14ac:dyDescent="0.25">
      <c r="A977" t="s">
        <v>1873</v>
      </c>
      <c r="B977" t="s">
        <v>1874</v>
      </c>
      <c r="C977">
        <v>25408</v>
      </c>
    </row>
    <row r="978" spans="1:4" x14ac:dyDescent="0.25">
      <c r="A978" t="s">
        <v>1875</v>
      </c>
      <c r="B978" t="s">
        <v>1876</v>
      </c>
      <c r="C978">
        <v>25409</v>
      </c>
    </row>
    <row r="979" spans="1:4" x14ac:dyDescent="0.25">
      <c r="A979" t="s">
        <v>1877</v>
      </c>
      <c r="B979" t="s">
        <v>1878</v>
      </c>
      <c r="C979">
        <v>25410</v>
      </c>
    </row>
    <row r="980" spans="1:4" x14ac:dyDescent="0.25">
      <c r="A980" t="s">
        <v>1879</v>
      </c>
      <c r="B980" t="s">
        <v>1880</v>
      </c>
      <c r="C980">
        <v>25411</v>
      </c>
    </row>
    <row r="981" spans="1:4" x14ac:dyDescent="0.25">
      <c r="A981" t="s">
        <v>1881</v>
      </c>
      <c r="B981" t="s">
        <v>1882</v>
      </c>
      <c r="C981">
        <v>25412</v>
      </c>
    </row>
    <row r="982" spans="1:4" x14ac:dyDescent="0.25">
      <c r="A982" t="s">
        <v>1883</v>
      </c>
      <c r="B982" t="s">
        <v>1884</v>
      </c>
      <c r="C982">
        <v>34115</v>
      </c>
      <c r="D982" t="s">
        <v>654</v>
      </c>
    </row>
    <row r="983" spans="1:4" x14ac:dyDescent="0.25">
      <c r="A983" t="s">
        <v>1885</v>
      </c>
      <c r="B983" t="s">
        <v>1886</v>
      </c>
      <c r="C983">
        <v>25232</v>
      </c>
    </row>
    <row r="984" spans="1:4" x14ac:dyDescent="0.25">
      <c r="A984" t="s">
        <v>1887</v>
      </c>
      <c r="B984" t="s">
        <v>1888</v>
      </c>
      <c r="C984">
        <v>30919</v>
      </c>
    </row>
    <row r="985" spans="1:4" x14ac:dyDescent="0.25">
      <c r="A985" t="s">
        <v>1889</v>
      </c>
      <c r="C985">
        <v>25474</v>
      </c>
    </row>
    <row r="986" spans="1:4" x14ac:dyDescent="0.25">
      <c r="A986" t="s">
        <v>1890</v>
      </c>
      <c r="C986">
        <v>25114</v>
      </c>
    </row>
    <row r="987" spans="1:4" x14ac:dyDescent="0.25">
      <c r="A987" t="s">
        <v>1891</v>
      </c>
      <c r="C987">
        <v>25115</v>
      </c>
    </row>
    <row r="988" spans="1:4" x14ac:dyDescent="0.25">
      <c r="A988" t="s">
        <v>1892</v>
      </c>
      <c r="C988">
        <v>25116</v>
      </c>
    </row>
    <row r="989" spans="1:4" x14ac:dyDescent="0.25">
      <c r="A989" t="s">
        <v>1893</v>
      </c>
      <c r="C989">
        <v>25475</v>
      </c>
    </row>
    <row r="990" spans="1:4" x14ac:dyDescent="0.25">
      <c r="A990" t="s">
        <v>1894</v>
      </c>
      <c r="C990">
        <v>25117</v>
      </c>
    </row>
    <row r="991" spans="1:4" x14ac:dyDescent="0.25">
      <c r="A991" t="s">
        <v>1895</v>
      </c>
      <c r="C991">
        <v>25118</v>
      </c>
    </row>
    <row r="992" spans="1:4" x14ac:dyDescent="0.25">
      <c r="A992" t="s">
        <v>1896</v>
      </c>
      <c r="C992">
        <v>25119</v>
      </c>
    </row>
    <row r="993" spans="1:4" x14ac:dyDescent="0.25">
      <c r="A993" t="s">
        <v>1897</v>
      </c>
      <c r="B993" t="s">
        <v>1898</v>
      </c>
      <c r="C993">
        <v>33975</v>
      </c>
      <c r="D993" t="s">
        <v>252</v>
      </c>
    </row>
    <row r="994" spans="1:4" x14ac:dyDescent="0.25">
      <c r="A994" t="s">
        <v>1899</v>
      </c>
      <c r="B994" t="s">
        <v>1900</v>
      </c>
      <c r="C994">
        <v>33976</v>
      </c>
      <c r="D994" t="s">
        <v>252</v>
      </c>
    </row>
    <row r="995" spans="1:4" x14ac:dyDescent="0.25">
      <c r="A995" t="s">
        <v>1901</v>
      </c>
      <c r="B995" t="s">
        <v>1902</v>
      </c>
      <c r="C995">
        <v>34041</v>
      </c>
      <c r="D995" t="s">
        <v>252</v>
      </c>
    </row>
    <row r="996" spans="1:4" x14ac:dyDescent="0.25">
      <c r="A996" t="s">
        <v>1903</v>
      </c>
      <c r="B996" t="s">
        <v>1904</v>
      </c>
      <c r="C996">
        <v>33974</v>
      </c>
      <c r="D996" t="s">
        <v>281</v>
      </c>
    </row>
    <row r="997" spans="1:4" x14ac:dyDescent="0.25">
      <c r="A997" t="s">
        <v>1905</v>
      </c>
      <c r="C997">
        <v>42408</v>
      </c>
    </row>
    <row r="998" spans="1:4" x14ac:dyDescent="0.25">
      <c r="A998" t="s">
        <v>1906</v>
      </c>
      <c r="B998" t="s">
        <v>1907</v>
      </c>
      <c r="C998">
        <v>24633</v>
      </c>
    </row>
    <row r="999" spans="1:4" x14ac:dyDescent="0.25">
      <c r="A999" t="s">
        <v>1908</v>
      </c>
      <c r="B999" t="s">
        <v>1909</v>
      </c>
      <c r="C999">
        <v>44658</v>
      </c>
    </row>
    <row r="1000" spans="1:4" x14ac:dyDescent="0.25">
      <c r="A1000" t="s">
        <v>1910</v>
      </c>
      <c r="B1000" t="s">
        <v>1911</v>
      </c>
      <c r="C1000">
        <v>24961</v>
      </c>
    </row>
    <row r="1001" spans="1:4" x14ac:dyDescent="0.25">
      <c r="A1001" t="s">
        <v>1912</v>
      </c>
      <c r="C1001">
        <v>24963</v>
      </c>
    </row>
    <row r="1002" spans="1:4" x14ac:dyDescent="0.25">
      <c r="A1002" t="s">
        <v>1913</v>
      </c>
      <c r="B1002" t="s">
        <v>1914</v>
      </c>
      <c r="C1002">
        <v>24962</v>
      </c>
    </row>
    <row r="1003" spans="1:4" x14ac:dyDescent="0.25">
      <c r="A1003" t="s">
        <v>1915</v>
      </c>
      <c r="B1003" t="s">
        <v>1916</v>
      </c>
      <c r="C1003">
        <v>47965</v>
      </c>
    </row>
    <row r="1004" spans="1:4" x14ac:dyDescent="0.25">
      <c r="A1004" t="s">
        <v>1917</v>
      </c>
      <c r="B1004" t="s">
        <v>1916</v>
      </c>
      <c r="C1004">
        <v>47966</v>
      </c>
    </row>
    <row r="1005" spans="1:4" x14ac:dyDescent="0.25">
      <c r="A1005" t="s">
        <v>1918</v>
      </c>
      <c r="B1005" t="s">
        <v>1919</v>
      </c>
      <c r="C1005">
        <v>25734</v>
      </c>
    </row>
    <row r="1006" spans="1:4" x14ac:dyDescent="0.25">
      <c r="A1006" t="s">
        <v>1920</v>
      </c>
      <c r="B1006" t="s">
        <v>1919</v>
      </c>
      <c r="C1006">
        <v>24775</v>
      </c>
    </row>
    <row r="1007" spans="1:4" x14ac:dyDescent="0.25">
      <c r="A1007" t="s">
        <v>1921</v>
      </c>
      <c r="B1007" t="s">
        <v>1922</v>
      </c>
      <c r="C1007">
        <v>25476</v>
      </c>
    </row>
    <row r="1008" spans="1:4" x14ac:dyDescent="0.25">
      <c r="A1008" t="s">
        <v>1923</v>
      </c>
      <c r="B1008" t="s">
        <v>1922</v>
      </c>
      <c r="C1008">
        <v>24177</v>
      </c>
    </row>
    <row r="1009" spans="1:4" x14ac:dyDescent="0.25">
      <c r="A1009" t="s">
        <v>1924</v>
      </c>
      <c r="B1009" t="s">
        <v>1925</v>
      </c>
      <c r="C1009">
        <v>24178</v>
      </c>
      <c r="D1009" t="s">
        <v>252</v>
      </c>
    </row>
    <row r="1010" spans="1:4" x14ac:dyDescent="0.25">
      <c r="A1010" t="s">
        <v>1926</v>
      </c>
      <c r="B1010" t="s">
        <v>1927</v>
      </c>
      <c r="C1010">
        <v>25555</v>
      </c>
      <c r="D1010" t="s">
        <v>267</v>
      </c>
    </row>
    <row r="1011" spans="1:4" x14ac:dyDescent="0.25">
      <c r="A1011" t="s">
        <v>1928</v>
      </c>
      <c r="B1011" t="s">
        <v>1927</v>
      </c>
      <c r="C1011">
        <v>24335</v>
      </c>
      <c r="D1011" t="s">
        <v>267</v>
      </c>
    </row>
    <row r="1012" spans="1:4" x14ac:dyDescent="0.25">
      <c r="A1012" t="s">
        <v>1929</v>
      </c>
      <c r="B1012" t="s">
        <v>1930</v>
      </c>
      <c r="C1012">
        <v>24491</v>
      </c>
    </row>
    <row r="1013" spans="1:4" x14ac:dyDescent="0.25">
      <c r="A1013" t="s">
        <v>1931</v>
      </c>
      <c r="B1013" t="s">
        <v>1930</v>
      </c>
      <c r="C1013">
        <v>47967</v>
      </c>
    </row>
    <row r="1014" spans="1:4" x14ac:dyDescent="0.25">
      <c r="A1014" t="s">
        <v>1932</v>
      </c>
      <c r="B1014" t="s">
        <v>1933</v>
      </c>
      <c r="C1014">
        <v>25630</v>
      </c>
      <c r="D1014" t="s">
        <v>267</v>
      </c>
    </row>
    <row r="1015" spans="1:4" x14ac:dyDescent="0.25">
      <c r="A1015" t="s">
        <v>1934</v>
      </c>
      <c r="B1015" t="s">
        <v>1933</v>
      </c>
      <c r="C1015">
        <v>24493</v>
      </c>
      <c r="D1015" t="s">
        <v>267</v>
      </c>
    </row>
    <row r="1016" spans="1:4" x14ac:dyDescent="0.25">
      <c r="A1016" t="s">
        <v>1935</v>
      </c>
      <c r="B1016" t="s">
        <v>1933</v>
      </c>
      <c r="C1016">
        <v>30865</v>
      </c>
      <c r="D1016" t="s">
        <v>267</v>
      </c>
    </row>
    <row r="1017" spans="1:4" x14ac:dyDescent="0.25">
      <c r="A1017" t="s">
        <v>1936</v>
      </c>
      <c r="B1017" t="s">
        <v>1937</v>
      </c>
      <c r="C1017">
        <v>24494</v>
      </c>
    </row>
    <row r="1018" spans="1:4" x14ac:dyDescent="0.25">
      <c r="A1018" t="s">
        <v>1938</v>
      </c>
      <c r="B1018" t="s">
        <v>1939</v>
      </c>
      <c r="C1018">
        <v>48582</v>
      </c>
      <c r="D1018" t="s">
        <v>281</v>
      </c>
    </row>
    <row r="1019" spans="1:4" x14ac:dyDescent="0.25">
      <c r="A1019" t="s">
        <v>1940</v>
      </c>
      <c r="C1019">
        <v>25363</v>
      </c>
    </row>
    <row r="1020" spans="1:4" x14ac:dyDescent="0.25">
      <c r="A1020" t="s">
        <v>1941</v>
      </c>
      <c r="B1020" t="s">
        <v>1942</v>
      </c>
      <c r="C1020">
        <v>48584</v>
      </c>
      <c r="D1020" t="s">
        <v>267</v>
      </c>
    </row>
    <row r="1021" spans="1:4" x14ac:dyDescent="0.25">
      <c r="A1021" t="s">
        <v>1943</v>
      </c>
      <c r="B1021" t="s">
        <v>1944</v>
      </c>
      <c r="C1021">
        <v>48585</v>
      </c>
      <c r="D1021" t="s">
        <v>267</v>
      </c>
    </row>
    <row r="1022" spans="1:4" x14ac:dyDescent="0.25">
      <c r="A1022" t="s">
        <v>1945</v>
      </c>
      <c r="B1022" t="s">
        <v>1946</v>
      </c>
      <c r="C1022">
        <v>24215</v>
      </c>
      <c r="D1022" t="s">
        <v>278</v>
      </c>
    </row>
    <row r="1023" spans="1:4" x14ac:dyDescent="0.25">
      <c r="A1023" t="s">
        <v>1947</v>
      </c>
      <c r="B1023" t="s">
        <v>1948</v>
      </c>
      <c r="C1023">
        <v>24502</v>
      </c>
    </row>
    <row r="1024" spans="1:4" x14ac:dyDescent="0.25">
      <c r="A1024" t="s">
        <v>1949</v>
      </c>
      <c r="B1024" t="s">
        <v>1950</v>
      </c>
      <c r="C1024">
        <v>25364</v>
      </c>
    </row>
    <row r="1025" spans="1:4" x14ac:dyDescent="0.25">
      <c r="A1025" t="s">
        <v>1951</v>
      </c>
      <c r="B1025" t="s">
        <v>1952</v>
      </c>
      <c r="C1025">
        <v>43382</v>
      </c>
    </row>
    <row r="1026" spans="1:4" x14ac:dyDescent="0.25">
      <c r="A1026" t="s">
        <v>1953</v>
      </c>
      <c r="B1026" t="s">
        <v>1954</v>
      </c>
      <c r="C1026">
        <v>25365</v>
      </c>
    </row>
    <row r="1027" spans="1:4" x14ac:dyDescent="0.25">
      <c r="A1027" t="s">
        <v>1955</v>
      </c>
      <c r="B1027" t="s">
        <v>1956</v>
      </c>
      <c r="C1027">
        <v>25366</v>
      </c>
    </row>
    <row r="1028" spans="1:4" x14ac:dyDescent="0.25">
      <c r="A1028" t="s">
        <v>1957</v>
      </c>
      <c r="B1028" t="s">
        <v>1958</v>
      </c>
      <c r="C1028">
        <v>43383</v>
      </c>
    </row>
    <row r="1029" spans="1:4" x14ac:dyDescent="0.25">
      <c r="A1029" t="s">
        <v>1959</v>
      </c>
      <c r="B1029" t="s">
        <v>1960</v>
      </c>
      <c r="C1029">
        <v>42409</v>
      </c>
    </row>
    <row r="1030" spans="1:4" x14ac:dyDescent="0.25">
      <c r="A1030" t="s">
        <v>1961</v>
      </c>
      <c r="B1030" t="s">
        <v>1962</v>
      </c>
      <c r="C1030">
        <v>44656</v>
      </c>
    </row>
    <row r="1031" spans="1:4" x14ac:dyDescent="0.25">
      <c r="A1031" t="s">
        <v>1963</v>
      </c>
      <c r="B1031" t="s">
        <v>1964</v>
      </c>
      <c r="C1031">
        <v>42410</v>
      </c>
    </row>
    <row r="1032" spans="1:4" x14ac:dyDescent="0.25">
      <c r="A1032" t="s">
        <v>1965</v>
      </c>
      <c r="B1032" t="s">
        <v>1966</v>
      </c>
      <c r="C1032">
        <v>43369</v>
      </c>
    </row>
    <row r="1033" spans="1:4" x14ac:dyDescent="0.25">
      <c r="A1033" t="s">
        <v>1967</v>
      </c>
      <c r="B1033" t="s">
        <v>1968</v>
      </c>
      <c r="C1033">
        <v>43384</v>
      </c>
    </row>
    <row r="1034" spans="1:4" x14ac:dyDescent="0.25">
      <c r="A1034" t="s">
        <v>1969</v>
      </c>
      <c r="B1034" t="s">
        <v>1970</v>
      </c>
      <c r="C1034">
        <v>43385</v>
      </c>
    </row>
    <row r="1035" spans="1:4" x14ac:dyDescent="0.25">
      <c r="A1035" t="s">
        <v>1971</v>
      </c>
      <c r="B1035" t="s">
        <v>1972</v>
      </c>
      <c r="C1035">
        <v>48587</v>
      </c>
      <c r="D1035" t="s">
        <v>267</v>
      </c>
    </row>
    <row r="1036" spans="1:4" x14ac:dyDescent="0.25">
      <c r="A1036" t="s">
        <v>1973</v>
      </c>
      <c r="B1036" t="s">
        <v>1974</v>
      </c>
      <c r="C1036">
        <v>24211</v>
      </c>
    </row>
    <row r="1037" spans="1:4" x14ac:dyDescent="0.25">
      <c r="A1037" t="s">
        <v>1975</v>
      </c>
      <c r="B1037" t="s">
        <v>1976</v>
      </c>
      <c r="C1037">
        <v>24277</v>
      </c>
    </row>
    <row r="1038" spans="1:4" x14ac:dyDescent="0.25">
      <c r="A1038" t="s">
        <v>1977</v>
      </c>
      <c r="B1038" t="s">
        <v>1976</v>
      </c>
      <c r="C1038">
        <v>34001</v>
      </c>
    </row>
    <row r="1039" spans="1:4" x14ac:dyDescent="0.25">
      <c r="A1039" t="s">
        <v>1978</v>
      </c>
      <c r="B1039" t="s">
        <v>1979</v>
      </c>
      <c r="C1039">
        <v>33977</v>
      </c>
      <c r="D1039" t="s">
        <v>231</v>
      </c>
    </row>
    <row r="1040" spans="1:4" x14ac:dyDescent="0.25">
      <c r="A1040" t="s">
        <v>1980</v>
      </c>
      <c r="B1040" t="s">
        <v>1981</v>
      </c>
      <c r="C1040">
        <v>24075</v>
      </c>
    </row>
    <row r="1041" spans="1:4" x14ac:dyDescent="0.25">
      <c r="A1041" t="s">
        <v>1982</v>
      </c>
      <c r="B1041" t="s">
        <v>1983</v>
      </c>
      <c r="C1041">
        <v>34022</v>
      </c>
      <c r="D1041" t="s">
        <v>252</v>
      </c>
    </row>
    <row r="1042" spans="1:4" x14ac:dyDescent="0.25">
      <c r="A1042" t="s">
        <v>1984</v>
      </c>
      <c r="B1042" t="s">
        <v>1985</v>
      </c>
      <c r="C1042">
        <v>47970</v>
      </c>
      <c r="D1042" t="s">
        <v>319</v>
      </c>
    </row>
    <row r="1043" spans="1:4" x14ac:dyDescent="0.25">
      <c r="A1043" t="s">
        <v>1986</v>
      </c>
      <c r="B1043" t="s">
        <v>1987</v>
      </c>
      <c r="C1043">
        <v>47971</v>
      </c>
      <c r="D1043" t="s">
        <v>319</v>
      </c>
    </row>
    <row r="1044" spans="1:4" x14ac:dyDescent="0.25">
      <c r="A1044" t="s">
        <v>1988</v>
      </c>
      <c r="B1044" t="s">
        <v>1989</v>
      </c>
      <c r="C1044">
        <v>49200</v>
      </c>
    </row>
    <row r="1045" spans="1:4" x14ac:dyDescent="0.25">
      <c r="A1045" t="s">
        <v>1990</v>
      </c>
      <c r="B1045" t="s">
        <v>1991</v>
      </c>
      <c r="C1045">
        <v>48926</v>
      </c>
      <c r="D1045" t="s">
        <v>231</v>
      </c>
    </row>
    <row r="1046" spans="1:4" x14ac:dyDescent="0.25">
      <c r="A1046" t="s">
        <v>1992</v>
      </c>
      <c r="B1046" t="s">
        <v>1993</v>
      </c>
      <c r="C1046">
        <v>48936</v>
      </c>
      <c r="D1046" t="s">
        <v>252</v>
      </c>
    </row>
    <row r="1047" spans="1:4" x14ac:dyDescent="0.25">
      <c r="A1047" t="s">
        <v>1994</v>
      </c>
      <c r="B1047" t="s">
        <v>1995</v>
      </c>
      <c r="C1047">
        <v>48927</v>
      </c>
      <c r="D1047" t="s">
        <v>408</v>
      </c>
    </row>
    <row r="1048" spans="1:4" x14ac:dyDescent="0.25">
      <c r="A1048" t="s">
        <v>1996</v>
      </c>
      <c r="B1048" t="s">
        <v>1997</v>
      </c>
      <c r="C1048">
        <v>48930</v>
      </c>
      <c r="D1048" t="s">
        <v>252</v>
      </c>
    </row>
    <row r="1049" spans="1:4" x14ac:dyDescent="0.25">
      <c r="A1049" t="s">
        <v>1998</v>
      </c>
      <c r="B1049" t="s">
        <v>1999</v>
      </c>
      <c r="C1049">
        <v>48937</v>
      </c>
      <c r="D1049" t="s">
        <v>319</v>
      </c>
    </row>
    <row r="1050" spans="1:4" x14ac:dyDescent="0.25">
      <c r="A1050" t="s">
        <v>2000</v>
      </c>
      <c r="B1050" t="s">
        <v>2001</v>
      </c>
      <c r="C1050">
        <v>49203</v>
      </c>
    </row>
    <row r="1051" spans="1:4" x14ac:dyDescent="0.25">
      <c r="A1051" t="s">
        <v>2002</v>
      </c>
      <c r="B1051" t="s">
        <v>2003</v>
      </c>
      <c r="C1051">
        <v>48929</v>
      </c>
      <c r="D1051" t="s">
        <v>231</v>
      </c>
    </row>
    <row r="1052" spans="1:4" x14ac:dyDescent="0.25">
      <c r="A1052" t="s">
        <v>2004</v>
      </c>
      <c r="B1052" t="s">
        <v>2005</v>
      </c>
      <c r="C1052">
        <v>49204</v>
      </c>
    </row>
    <row r="1053" spans="1:4" x14ac:dyDescent="0.25">
      <c r="A1053" t="s">
        <v>2006</v>
      </c>
      <c r="B1053" t="s">
        <v>2007</v>
      </c>
      <c r="C1053">
        <v>48934</v>
      </c>
      <c r="D1053" t="s">
        <v>408</v>
      </c>
    </row>
    <row r="1054" spans="1:4" x14ac:dyDescent="0.25">
      <c r="A1054" t="s">
        <v>2008</v>
      </c>
      <c r="B1054" t="s">
        <v>2009</v>
      </c>
      <c r="C1054">
        <v>49205</v>
      </c>
    </row>
    <row r="1055" spans="1:4" x14ac:dyDescent="0.25">
      <c r="A1055" t="s">
        <v>2010</v>
      </c>
      <c r="B1055" t="s">
        <v>2011</v>
      </c>
      <c r="C1055">
        <v>48928</v>
      </c>
      <c r="D1055" t="s">
        <v>252</v>
      </c>
    </row>
    <row r="1056" spans="1:4" x14ac:dyDescent="0.25">
      <c r="A1056" t="s">
        <v>2012</v>
      </c>
      <c r="B1056" t="s">
        <v>2013</v>
      </c>
      <c r="C1056">
        <v>48933</v>
      </c>
      <c r="D1056" t="s">
        <v>319</v>
      </c>
    </row>
    <row r="1057" spans="1:4" x14ac:dyDescent="0.25">
      <c r="A1057" t="s">
        <v>2014</v>
      </c>
      <c r="B1057" t="s">
        <v>2015</v>
      </c>
      <c r="C1057">
        <v>49207</v>
      </c>
    </row>
    <row r="1058" spans="1:4" x14ac:dyDescent="0.25">
      <c r="A1058" t="s">
        <v>2016</v>
      </c>
      <c r="B1058" t="s">
        <v>2017</v>
      </c>
      <c r="C1058">
        <v>48364</v>
      </c>
      <c r="D1058" t="s">
        <v>319</v>
      </c>
    </row>
    <row r="1059" spans="1:4" x14ac:dyDescent="0.25">
      <c r="A1059" t="s">
        <v>2018</v>
      </c>
      <c r="B1059" t="s">
        <v>2019</v>
      </c>
      <c r="C1059">
        <v>33917</v>
      </c>
      <c r="D1059" t="s">
        <v>408</v>
      </c>
    </row>
    <row r="1060" spans="1:4" x14ac:dyDescent="0.25">
      <c r="A1060" t="s">
        <v>2020</v>
      </c>
      <c r="B1060" t="s">
        <v>2021</v>
      </c>
      <c r="C1060">
        <v>48932</v>
      </c>
      <c r="D1060" t="s">
        <v>231</v>
      </c>
    </row>
    <row r="1061" spans="1:4" x14ac:dyDescent="0.25">
      <c r="A1061" t="s">
        <v>2022</v>
      </c>
      <c r="B1061" t="s">
        <v>2023</v>
      </c>
      <c r="C1061">
        <v>48935</v>
      </c>
      <c r="D1061" t="s">
        <v>231</v>
      </c>
    </row>
    <row r="1062" spans="1:4" x14ac:dyDescent="0.25">
      <c r="A1062" t="s">
        <v>2024</v>
      </c>
      <c r="B1062" t="s">
        <v>2015</v>
      </c>
      <c r="C1062">
        <v>49206</v>
      </c>
    </row>
    <row r="1063" spans="1:4" x14ac:dyDescent="0.25">
      <c r="A1063" t="s">
        <v>2025</v>
      </c>
      <c r="B1063" t="s">
        <v>2026</v>
      </c>
      <c r="C1063">
        <v>34145</v>
      </c>
      <c r="D1063" t="s">
        <v>281</v>
      </c>
    </row>
    <row r="1064" spans="1:4" x14ac:dyDescent="0.25">
      <c r="A1064" t="s">
        <v>2027</v>
      </c>
      <c r="C1064">
        <v>44660</v>
      </c>
    </row>
    <row r="1065" spans="1:4" x14ac:dyDescent="0.25">
      <c r="A1065" t="s">
        <v>2028</v>
      </c>
      <c r="B1065" t="s">
        <v>2029</v>
      </c>
      <c r="C1065">
        <v>47973</v>
      </c>
    </row>
    <row r="1066" spans="1:4" x14ac:dyDescent="0.25">
      <c r="A1066" t="s">
        <v>2030</v>
      </c>
      <c r="B1066" t="s">
        <v>2031</v>
      </c>
      <c r="C1066">
        <v>25477</v>
      </c>
      <c r="D1066" t="s">
        <v>211</v>
      </c>
    </row>
    <row r="1067" spans="1:4" x14ac:dyDescent="0.25">
      <c r="A1067" t="s">
        <v>2032</v>
      </c>
      <c r="B1067" t="s">
        <v>2033</v>
      </c>
      <c r="C1067">
        <v>24150</v>
      </c>
      <c r="D1067" t="s">
        <v>211</v>
      </c>
    </row>
    <row r="1068" spans="1:4" x14ac:dyDescent="0.25">
      <c r="A1068" t="s">
        <v>2034</v>
      </c>
      <c r="B1068" t="s">
        <v>2035</v>
      </c>
      <c r="C1068">
        <v>24151</v>
      </c>
      <c r="D1068" t="s">
        <v>211</v>
      </c>
    </row>
    <row r="1069" spans="1:4" x14ac:dyDescent="0.25">
      <c r="A1069" t="s">
        <v>2036</v>
      </c>
      <c r="B1069" t="s">
        <v>2037</v>
      </c>
      <c r="C1069">
        <v>48588</v>
      </c>
      <c r="D1069" t="s">
        <v>278</v>
      </c>
    </row>
    <row r="1070" spans="1:4" x14ac:dyDescent="0.25">
      <c r="A1070" t="s">
        <v>2038</v>
      </c>
      <c r="B1070" t="s">
        <v>2039</v>
      </c>
      <c r="C1070">
        <v>24152</v>
      </c>
    </row>
    <row r="1071" spans="1:4" x14ac:dyDescent="0.25">
      <c r="A1071" t="s">
        <v>2040</v>
      </c>
      <c r="B1071" t="s">
        <v>2039</v>
      </c>
      <c r="C1071">
        <v>47974</v>
      </c>
    </row>
    <row r="1072" spans="1:4" x14ac:dyDescent="0.25">
      <c r="A1072" t="s">
        <v>2041</v>
      </c>
      <c r="B1072" t="s">
        <v>2042</v>
      </c>
      <c r="C1072">
        <v>33978</v>
      </c>
      <c r="D1072" t="s">
        <v>231</v>
      </c>
    </row>
    <row r="1073" spans="1:4" x14ac:dyDescent="0.25">
      <c r="A1073" t="s">
        <v>2043</v>
      </c>
      <c r="B1073" t="s">
        <v>2044</v>
      </c>
      <c r="C1073">
        <v>47975</v>
      </c>
      <c r="D1073" t="s">
        <v>278</v>
      </c>
    </row>
    <row r="1074" spans="1:4" x14ac:dyDescent="0.25">
      <c r="A1074" t="s">
        <v>2045</v>
      </c>
      <c r="B1074" t="s">
        <v>2046</v>
      </c>
      <c r="C1074">
        <v>25562</v>
      </c>
    </row>
    <row r="1075" spans="1:4" x14ac:dyDescent="0.25">
      <c r="A1075" t="s">
        <v>2047</v>
      </c>
      <c r="B1075" t="s">
        <v>2048</v>
      </c>
      <c r="C1075">
        <v>24347</v>
      </c>
      <c r="D1075" t="s">
        <v>252</v>
      </c>
    </row>
    <row r="1076" spans="1:4" x14ac:dyDescent="0.25">
      <c r="A1076" t="s">
        <v>2049</v>
      </c>
      <c r="B1076" t="s">
        <v>2050</v>
      </c>
      <c r="C1076">
        <v>24349</v>
      </c>
    </row>
    <row r="1077" spans="1:4" x14ac:dyDescent="0.25">
      <c r="A1077" t="s">
        <v>2051</v>
      </c>
      <c r="B1077" t="s">
        <v>2052</v>
      </c>
      <c r="C1077">
        <v>33979</v>
      </c>
      <c r="D1077" t="s">
        <v>319</v>
      </c>
    </row>
    <row r="1078" spans="1:4" x14ac:dyDescent="0.25">
      <c r="A1078" t="s">
        <v>2053</v>
      </c>
      <c r="B1078" t="s">
        <v>2054</v>
      </c>
      <c r="C1078">
        <v>33980</v>
      </c>
      <c r="D1078" t="s">
        <v>319</v>
      </c>
    </row>
    <row r="1079" spans="1:4" x14ac:dyDescent="0.25">
      <c r="A1079" t="s">
        <v>2055</v>
      </c>
      <c r="B1079" t="s">
        <v>2056</v>
      </c>
      <c r="C1079">
        <v>34023</v>
      </c>
      <c r="D1079" t="s">
        <v>252</v>
      </c>
    </row>
    <row r="1080" spans="1:4" x14ac:dyDescent="0.25">
      <c r="A1080" t="s">
        <v>2057</v>
      </c>
      <c r="B1080" t="s">
        <v>2058</v>
      </c>
      <c r="C1080">
        <v>34024</v>
      </c>
      <c r="D1080" t="s">
        <v>252</v>
      </c>
    </row>
    <row r="1081" spans="1:4" x14ac:dyDescent="0.25">
      <c r="A1081" t="s">
        <v>2059</v>
      </c>
      <c r="B1081" t="s">
        <v>2060</v>
      </c>
      <c r="C1081">
        <v>34080</v>
      </c>
      <c r="D1081" t="s">
        <v>231</v>
      </c>
    </row>
    <row r="1082" spans="1:4" x14ac:dyDescent="0.25">
      <c r="A1082" t="s">
        <v>2061</v>
      </c>
      <c r="B1082" t="s">
        <v>2062</v>
      </c>
      <c r="C1082">
        <v>34081</v>
      </c>
      <c r="D1082" t="s">
        <v>252</v>
      </c>
    </row>
    <row r="1083" spans="1:4" x14ac:dyDescent="0.25">
      <c r="A1083" t="s">
        <v>2063</v>
      </c>
      <c r="B1083" t="s">
        <v>2064</v>
      </c>
      <c r="C1083">
        <v>34082</v>
      </c>
      <c r="D1083" t="s">
        <v>319</v>
      </c>
    </row>
    <row r="1084" spans="1:4" x14ac:dyDescent="0.25">
      <c r="A1084" t="s">
        <v>2065</v>
      </c>
      <c r="B1084" t="s">
        <v>2066</v>
      </c>
      <c r="C1084">
        <v>24070</v>
      </c>
    </row>
    <row r="1085" spans="1:4" x14ac:dyDescent="0.25">
      <c r="A1085" t="s">
        <v>2067</v>
      </c>
      <c r="B1085" t="s">
        <v>2068</v>
      </c>
      <c r="C1085">
        <v>24071</v>
      </c>
    </row>
    <row r="1086" spans="1:4" x14ac:dyDescent="0.25">
      <c r="A1086" t="s">
        <v>2069</v>
      </c>
      <c r="B1086" t="s">
        <v>2070</v>
      </c>
      <c r="C1086">
        <v>43350</v>
      </c>
      <c r="D1086" t="s">
        <v>281</v>
      </c>
    </row>
    <row r="1087" spans="1:4" x14ac:dyDescent="0.25">
      <c r="A1087" t="s">
        <v>2071</v>
      </c>
      <c r="B1087" t="s">
        <v>2072</v>
      </c>
      <c r="C1087">
        <v>33918</v>
      </c>
      <c r="D1087" t="s">
        <v>281</v>
      </c>
    </row>
    <row r="1088" spans="1:4" x14ac:dyDescent="0.25">
      <c r="A1088" t="s">
        <v>2073</v>
      </c>
      <c r="B1088" t="s">
        <v>2074</v>
      </c>
      <c r="C1088">
        <v>33919</v>
      </c>
      <c r="D1088" t="s">
        <v>252</v>
      </c>
    </row>
    <row r="1089" spans="1:4" x14ac:dyDescent="0.25">
      <c r="A1089" t="s">
        <v>2075</v>
      </c>
      <c r="B1089" t="s">
        <v>2076</v>
      </c>
      <c r="C1089">
        <v>24572</v>
      </c>
    </row>
    <row r="1090" spans="1:4" x14ac:dyDescent="0.25">
      <c r="A1090" t="s">
        <v>2077</v>
      </c>
      <c r="B1090" t="s">
        <v>2078</v>
      </c>
      <c r="C1090">
        <v>24057</v>
      </c>
    </row>
    <row r="1091" spans="1:4" x14ac:dyDescent="0.25">
      <c r="A1091" t="s">
        <v>2079</v>
      </c>
      <c r="B1091" t="s">
        <v>2080</v>
      </c>
      <c r="C1091">
        <v>24058</v>
      </c>
    </row>
    <row r="1092" spans="1:4" x14ac:dyDescent="0.25">
      <c r="A1092" t="s">
        <v>2081</v>
      </c>
      <c r="B1092" t="s">
        <v>2082</v>
      </c>
      <c r="C1092">
        <v>24121</v>
      </c>
      <c r="D1092" t="s">
        <v>654</v>
      </c>
    </row>
    <row r="1093" spans="1:4" x14ac:dyDescent="0.25">
      <c r="A1093" t="s">
        <v>2083</v>
      </c>
      <c r="B1093" t="s">
        <v>2084</v>
      </c>
      <c r="C1093">
        <v>25479</v>
      </c>
      <c r="D1093" t="s">
        <v>278</v>
      </c>
    </row>
    <row r="1094" spans="1:4" x14ac:dyDescent="0.25">
      <c r="A1094" t="s">
        <v>2085</v>
      </c>
      <c r="B1094" t="s">
        <v>2086</v>
      </c>
      <c r="C1094">
        <v>24123</v>
      </c>
      <c r="D1094" t="s">
        <v>211</v>
      </c>
    </row>
    <row r="1095" spans="1:4" x14ac:dyDescent="0.25">
      <c r="A1095" t="s">
        <v>2087</v>
      </c>
      <c r="B1095" t="s">
        <v>2088</v>
      </c>
      <c r="C1095">
        <v>24122</v>
      </c>
      <c r="D1095" t="s">
        <v>278</v>
      </c>
    </row>
    <row r="1096" spans="1:4" x14ac:dyDescent="0.25">
      <c r="A1096" t="s">
        <v>2089</v>
      </c>
      <c r="B1096" t="s">
        <v>2090</v>
      </c>
      <c r="C1096">
        <v>25480</v>
      </c>
      <c r="D1096" t="s">
        <v>278</v>
      </c>
    </row>
    <row r="1097" spans="1:4" x14ac:dyDescent="0.25">
      <c r="A1097" t="s">
        <v>2091</v>
      </c>
      <c r="B1097" t="s">
        <v>2092</v>
      </c>
      <c r="C1097">
        <v>24124</v>
      </c>
      <c r="D1097" t="s">
        <v>211</v>
      </c>
    </row>
    <row r="1098" spans="1:4" x14ac:dyDescent="0.25">
      <c r="A1098" t="s">
        <v>2093</v>
      </c>
      <c r="B1098" t="s">
        <v>2094</v>
      </c>
      <c r="C1098">
        <v>24125</v>
      </c>
      <c r="D1098" t="s">
        <v>654</v>
      </c>
    </row>
    <row r="1099" spans="1:4" x14ac:dyDescent="0.25">
      <c r="A1099" t="s">
        <v>2095</v>
      </c>
      <c r="B1099" t="s">
        <v>2096</v>
      </c>
      <c r="C1099">
        <v>48589</v>
      </c>
      <c r="D1099" t="s">
        <v>408</v>
      </c>
    </row>
    <row r="1100" spans="1:4" x14ac:dyDescent="0.25">
      <c r="A1100" t="s">
        <v>2097</v>
      </c>
      <c r="B1100" t="s">
        <v>2098</v>
      </c>
      <c r="C1100">
        <v>25481</v>
      </c>
      <c r="D1100" t="s">
        <v>211</v>
      </c>
    </row>
    <row r="1101" spans="1:4" x14ac:dyDescent="0.25">
      <c r="A1101" t="s">
        <v>2099</v>
      </c>
      <c r="B1101" t="s">
        <v>2100</v>
      </c>
      <c r="C1101">
        <v>24128</v>
      </c>
      <c r="D1101" t="s">
        <v>211</v>
      </c>
    </row>
    <row r="1102" spans="1:4" x14ac:dyDescent="0.25">
      <c r="A1102" t="s">
        <v>2101</v>
      </c>
      <c r="B1102" t="s">
        <v>2102</v>
      </c>
      <c r="C1102">
        <v>47978</v>
      </c>
      <c r="D1102" t="s">
        <v>319</v>
      </c>
    </row>
    <row r="1103" spans="1:4" x14ac:dyDescent="0.25">
      <c r="A1103" t="s">
        <v>2103</v>
      </c>
      <c r="B1103" t="s">
        <v>2104</v>
      </c>
      <c r="C1103">
        <v>25571</v>
      </c>
    </row>
    <row r="1104" spans="1:4" x14ac:dyDescent="0.25">
      <c r="A1104" t="s">
        <v>2105</v>
      </c>
      <c r="B1104" t="s">
        <v>2104</v>
      </c>
      <c r="C1104">
        <v>24366</v>
      </c>
    </row>
    <row r="1105" spans="1:3" x14ac:dyDescent="0.25">
      <c r="A1105" t="s">
        <v>2106</v>
      </c>
      <c r="B1105" t="s">
        <v>2107</v>
      </c>
      <c r="C1105">
        <v>24367</v>
      </c>
    </row>
    <row r="1106" spans="1:3" x14ac:dyDescent="0.25">
      <c r="A1106" t="s">
        <v>2108</v>
      </c>
      <c r="B1106" t="s">
        <v>2109</v>
      </c>
      <c r="C1106">
        <v>42319</v>
      </c>
    </row>
    <row r="1107" spans="1:3" x14ac:dyDescent="0.25">
      <c r="A1107" t="s">
        <v>2110</v>
      </c>
      <c r="B1107" t="s">
        <v>2111</v>
      </c>
      <c r="C1107">
        <v>25636</v>
      </c>
    </row>
    <row r="1108" spans="1:3" x14ac:dyDescent="0.25">
      <c r="A1108" t="s">
        <v>2112</v>
      </c>
      <c r="B1108" t="s">
        <v>2111</v>
      </c>
      <c r="C1108">
        <v>24509</v>
      </c>
    </row>
    <row r="1109" spans="1:3" x14ac:dyDescent="0.25">
      <c r="A1109" t="s">
        <v>2113</v>
      </c>
      <c r="B1109" t="s">
        <v>2114</v>
      </c>
      <c r="C1109">
        <v>30920</v>
      </c>
    </row>
    <row r="1110" spans="1:3" x14ac:dyDescent="0.25">
      <c r="A1110" t="s">
        <v>2115</v>
      </c>
      <c r="B1110" t="s">
        <v>2116</v>
      </c>
      <c r="C1110">
        <v>24510</v>
      </c>
    </row>
    <row r="1111" spans="1:3" x14ac:dyDescent="0.25">
      <c r="A1111" t="s">
        <v>2117</v>
      </c>
      <c r="B1111" t="s">
        <v>2116</v>
      </c>
      <c r="C1111">
        <v>47979</v>
      </c>
    </row>
    <row r="1112" spans="1:3" x14ac:dyDescent="0.25">
      <c r="A1112" t="s">
        <v>2118</v>
      </c>
      <c r="B1112" t="s">
        <v>2119</v>
      </c>
      <c r="C1112">
        <v>30851</v>
      </c>
    </row>
    <row r="1113" spans="1:3" x14ac:dyDescent="0.25">
      <c r="A1113" t="s">
        <v>2120</v>
      </c>
      <c r="B1113" t="s">
        <v>2121</v>
      </c>
      <c r="C1113">
        <v>25637</v>
      </c>
    </row>
    <row r="1114" spans="1:3" x14ac:dyDescent="0.25">
      <c r="A1114" t="s">
        <v>2122</v>
      </c>
      <c r="B1114" t="s">
        <v>2121</v>
      </c>
      <c r="C1114">
        <v>24511</v>
      </c>
    </row>
    <row r="1115" spans="1:3" x14ac:dyDescent="0.25">
      <c r="A1115" t="s">
        <v>2123</v>
      </c>
      <c r="B1115" t="s">
        <v>2124</v>
      </c>
      <c r="C1115">
        <v>25638</v>
      </c>
    </row>
    <row r="1116" spans="1:3" x14ac:dyDescent="0.25">
      <c r="A1116" t="s">
        <v>2125</v>
      </c>
      <c r="B1116" t="s">
        <v>2124</v>
      </c>
      <c r="C1116">
        <v>24512</v>
      </c>
    </row>
    <row r="1117" spans="1:3" x14ac:dyDescent="0.25">
      <c r="A1117" t="s">
        <v>2126</v>
      </c>
      <c r="B1117" t="s">
        <v>2127</v>
      </c>
      <c r="C1117">
        <v>24513</v>
      </c>
    </row>
    <row r="1118" spans="1:3" x14ac:dyDescent="0.25">
      <c r="A1118" t="s">
        <v>2128</v>
      </c>
      <c r="B1118" t="s">
        <v>2129</v>
      </c>
      <c r="C1118">
        <v>24514</v>
      </c>
    </row>
    <row r="1119" spans="1:3" x14ac:dyDescent="0.25">
      <c r="A1119" t="s">
        <v>2130</v>
      </c>
      <c r="B1119" t="s">
        <v>2131</v>
      </c>
      <c r="C1119">
        <v>24515</v>
      </c>
    </row>
    <row r="1120" spans="1:3" x14ac:dyDescent="0.25">
      <c r="A1120" t="s">
        <v>2132</v>
      </c>
      <c r="B1120" t="s">
        <v>2133</v>
      </c>
      <c r="C1120">
        <v>24170</v>
      </c>
    </row>
    <row r="1121" spans="1:4" x14ac:dyDescent="0.25">
      <c r="A1121" t="s">
        <v>2134</v>
      </c>
      <c r="B1121" t="s">
        <v>2135</v>
      </c>
      <c r="C1121">
        <v>24216</v>
      </c>
    </row>
    <row r="1122" spans="1:4" x14ac:dyDescent="0.25">
      <c r="A1122" t="s">
        <v>2136</v>
      </c>
      <c r="B1122" t="s">
        <v>2137</v>
      </c>
      <c r="C1122">
        <v>24217</v>
      </c>
      <c r="D1122" t="s">
        <v>278</v>
      </c>
    </row>
    <row r="1123" spans="1:4" x14ac:dyDescent="0.25">
      <c r="A1123" t="s">
        <v>2138</v>
      </c>
      <c r="B1123" t="s">
        <v>2139</v>
      </c>
      <c r="C1123">
        <v>34042</v>
      </c>
      <c r="D1123" t="s">
        <v>278</v>
      </c>
    </row>
    <row r="1124" spans="1:4" x14ac:dyDescent="0.25">
      <c r="A1124" t="s">
        <v>2140</v>
      </c>
      <c r="B1124" t="s">
        <v>2141</v>
      </c>
      <c r="C1124">
        <v>34043</v>
      </c>
      <c r="D1124" t="s">
        <v>252</v>
      </c>
    </row>
    <row r="1125" spans="1:4" x14ac:dyDescent="0.25">
      <c r="A1125" t="s">
        <v>2142</v>
      </c>
      <c r="B1125" t="s">
        <v>2143</v>
      </c>
      <c r="C1125">
        <v>33982</v>
      </c>
      <c r="D1125" t="s">
        <v>231</v>
      </c>
    </row>
    <row r="1126" spans="1:4" x14ac:dyDescent="0.25">
      <c r="A1126" t="s">
        <v>2144</v>
      </c>
      <c r="B1126" t="s">
        <v>2143</v>
      </c>
      <c r="C1126">
        <v>33983</v>
      </c>
      <c r="D1126" t="s">
        <v>408</v>
      </c>
    </row>
    <row r="1127" spans="1:4" x14ac:dyDescent="0.25">
      <c r="A1127" t="s">
        <v>2145</v>
      </c>
      <c r="B1127" t="s">
        <v>2146</v>
      </c>
      <c r="C1127">
        <v>24557</v>
      </c>
      <c r="D1127" t="s">
        <v>211</v>
      </c>
    </row>
    <row r="1128" spans="1:4" x14ac:dyDescent="0.25">
      <c r="A1128" t="s">
        <v>2147</v>
      </c>
      <c r="B1128" t="s">
        <v>2148</v>
      </c>
      <c r="C1128">
        <v>25343</v>
      </c>
      <c r="D1128" t="s">
        <v>408</v>
      </c>
    </row>
    <row r="1129" spans="1:4" x14ac:dyDescent="0.25">
      <c r="A1129" t="s">
        <v>2149</v>
      </c>
      <c r="B1129" t="s">
        <v>2150</v>
      </c>
      <c r="C1129">
        <v>47983</v>
      </c>
      <c r="D1129" t="s">
        <v>408</v>
      </c>
    </row>
    <row r="1130" spans="1:4" x14ac:dyDescent="0.25">
      <c r="A1130" t="s">
        <v>2151</v>
      </c>
      <c r="B1130" t="s">
        <v>2152</v>
      </c>
      <c r="C1130">
        <v>24218</v>
      </c>
      <c r="D1130" t="s">
        <v>654</v>
      </c>
    </row>
    <row r="1131" spans="1:4" x14ac:dyDescent="0.25">
      <c r="A1131" t="s">
        <v>2153</v>
      </c>
      <c r="B1131" t="s">
        <v>2154</v>
      </c>
      <c r="C1131">
        <v>24219</v>
      </c>
      <c r="D1131" t="s">
        <v>491</v>
      </c>
    </row>
    <row r="1132" spans="1:4" x14ac:dyDescent="0.25">
      <c r="A1132" t="s">
        <v>2155</v>
      </c>
      <c r="B1132" t="s">
        <v>2156</v>
      </c>
      <c r="C1132">
        <v>25120</v>
      </c>
      <c r="D1132" t="s">
        <v>231</v>
      </c>
    </row>
    <row r="1133" spans="1:4" x14ac:dyDescent="0.25">
      <c r="A1133" t="s">
        <v>2157</v>
      </c>
      <c r="C1133">
        <v>30926</v>
      </c>
    </row>
    <row r="1134" spans="1:4" x14ac:dyDescent="0.25">
      <c r="A1134" t="s">
        <v>2158</v>
      </c>
      <c r="C1134">
        <v>25121</v>
      </c>
    </row>
    <row r="1135" spans="1:4" x14ac:dyDescent="0.25">
      <c r="A1135" t="s">
        <v>2159</v>
      </c>
      <c r="C1135">
        <v>25122</v>
      </c>
    </row>
    <row r="1136" spans="1:4" x14ac:dyDescent="0.25">
      <c r="A1136" t="s">
        <v>2160</v>
      </c>
      <c r="B1136" t="s">
        <v>2161</v>
      </c>
      <c r="C1136">
        <v>25123</v>
      </c>
      <c r="D1136" t="s">
        <v>252</v>
      </c>
    </row>
    <row r="1137" spans="1:4" x14ac:dyDescent="0.25">
      <c r="A1137" t="s">
        <v>2162</v>
      </c>
      <c r="C1137">
        <v>25124</v>
      </c>
    </row>
    <row r="1138" spans="1:4" x14ac:dyDescent="0.25">
      <c r="A1138" t="s">
        <v>2163</v>
      </c>
      <c r="C1138">
        <v>25125</v>
      </c>
    </row>
    <row r="1139" spans="1:4" x14ac:dyDescent="0.25">
      <c r="A1139" t="s">
        <v>2164</v>
      </c>
      <c r="C1139">
        <v>25126</v>
      </c>
    </row>
    <row r="1140" spans="1:4" x14ac:dyDescent="0.25">
      <c r="A1140" t="s">
        <v>2165</v>
      </c>
      <c r="B1140" t="s">
        <v>2166</v>
      </c>
      <c r="C1140">
        <v>25127</v>
      </c>
      <c r="D1140" t="s">
        <v>252</v>
      </c>
    </row>
    <row r="1141" spans="1:4" x14ac:dyDescent="0.25">
      <c r="A1141" t="s">
        <v>2167</v>
      </c>
      <c r="C1141">
        <v>25128</v>
      </c>
    </row>
    <row r="1142" spans="1:4" x14ac:dyDescent="0.25">
      <c r="A1142" t="s">
        <v>2168</v>
      </c>
      <c r="C1142">
        <v>30928</v>
      </c>
    </row>
    <row r="1143" spans="1:4" x14ac:dyDescent="0.25">
      <c r="A1143" t="s">
        <v>2169</v>
      </c>
      <c r="C1143">
        <v>25129</v>
      </c>
    </row>
    <row r="1144" spans="1:4" x14ac:dyDescent="0.25">
      <c r="A1144" t="s">
        <v>2170</v>
      </c>
      <c r="C1144">
        <v>25130</v>
      </c>
    </row>
    <row r="1145" spans="1:4" x14ac:dyDescent="0.25">
      <c r="A1145" t="s">
        <v>2171</v>
      </c>
      <c r="C1145">
        <v>25131</v>
      </c>
    </row>
    <row r="1146" spans="1:4" x14ac:dyDescent="0.25">
      <c r="A1146" t="s">
        <v>2172</v>
      </c>
      <c r="C1146">
        <v>25132</v>
      </c>
    </row>
    <row r="1147" spans="1:4" x14ac:dyDescent="0.25">
      <c r="A1147" t="s">
        <v>2173</v>
      </c>
      <c r="C1147">
        <v>25133</v>
      </c>
    </row>
    <row r="1148" spans="1:4" x14ac:dyDescent="0.25">
      <c r="A1148" t="s">
        <v>2174</v>
      </c>
      <c r="B1148" t="s">
        <v>2175</v>
      </c>
      <c r="C1148">
        <v>25134</v>
      </c>
      <c r="D1148" t="s">
        <v>319</v>
      </c>
    </row>
    <row r="1149" spans="1:4" x14ac:dyDescent="0.25">
      <c r="A1149" t="s">
        <v>2176</v>
      </c>
      <c r="C1149">
        <v>25135</v>
      </c>
    </row>
    <row r="1150" spans="1:4" x14ac:dyDescent="0.25">
      <c r="A1150" t="s">
        <v>2177</v>
      </c>
      <c r="C1150">
        <v>25136</v>
      </c>
    </row>
    <row r="1151" spans="1:4" x14ac:dyDescent="0.25">
      <c r="A1151" t="s">
        <v>2178</v>
      </c>
      <c r="C1151">
        <v>25137</v>
      </c>
    </row>
    <row r="1152" spans="1:4" x14ac:dyDescent="0.25">
      <c r="A1152" t="s">
        <v>2179</v>
      </c>
      <c r="C1152">
        <v>25139</v>
      </c>
    </row>
    <row r="1153" spans="1:4" x14ac:dyDescent="0.25">
      <c r="A1153" t="s">
        <v>2180</v>
      </c>
      <c r="C1153">
        <v>25138</v>
      </c>
    </row>
    <row r="1154" spans="1:4" x14ac:dyDescent="0.25">
      <c r="A1154" t="s">
        <v>2181</v>
      </c>
      <c r="B1154" t="s">
        <v>2182</v>
      </c>
      <c r="C1154">
        <v>25140</v>
      </c>
      <c r="D1154" t="s">
        <v>319</v>
      </c>
    </row>
    <row r="1155" spans="1:4" x14ac:dyDescent="0.25">
      <c r="A1155" t="s">
        <v>2183</v>
      </c>
      <c r="B1155" t="s">
        <v>2184</v>
      </c>
      <c r="C1155">
        <v>25141</v>
      </c>
      <c r="D1155" t="s">
        <v>231</v>
      </c>
    </row>
    <row r="1156" spans="1:4" x14ac:dyDescent="0.25">
      <c r="A1156" t="s">
        <v>2185</v>
      </c>
      <c r="C1156">
        <v>25142</v>
      </c>
    </row>
    <row r="1157" spans="1:4" x14ac:dyDescent="0.25">
      <c r="A1157" t="s">
        <v>2186</v>
      </c>
      <c r="C1157">
        <v>30929</v>
      </c>
    </row>
    <row r="1158" spans="1:4" x14ac:dyDescent="0.25">
      <c r="A1158" t="s">
        <v>2187</v>
      </c>
      <c r="B1158" t="s">
        <v>2188</v>
      </c>
      <c r="C1158">
        <v>25143</v>
      </c>
      <c r="D1158" t="s">
        <v>252</v>
      </c>
    </row>
    <row r="1159" spans="1:4" x14ac:dyDescent="0.25">
      <c r="A1159" t="s">
        <v>2189</v>
      </c>
      <c r="C1159">
        <v>25144</v>
      </c>
    </row>
    <row r="1160" spans="1:4" x14ac:dyDescent="0.25">
      <c r="A1160" t="s">
        <v>2190</v>
      </c>
      <c r="C1160">
        <v>25145</v>
      </c>
    </row>
    <row r="1161" spans="1:4" x14ac:dyDescent="0.25">
      <c r="A1161" t="s">
        <v>2191</v>
      </c>
      <c r="C1161">
        <v>30927</v>
      </c>
    </row>
    <row r="1162" spans="1:4" x14ac:dyDescent="0.25">
      <c r="A1162" t="s">
        <v>2192</v>
      </c>
      <c r="C1162">
        <v>25146</v>
      </c>
    </row>
    <row r="1163" spans="1:4" x14ac:dyDescent="0.25">
      <c r="A1163" t="s">
        <v>2193</v>
      </c>
      <c r="B1163" t="s">
        <v>2194</v>
      </c>
      <c r="C1163">
        <v>25147</v>
      </c>
      <c r="D1163" t="s">
        <v>231</v>
      </c>
    </row>
    <row r="1164" spans="1:4" x14ac:dyDescent="0.25">
      <c r="A1164" t="s">
        <v>2195</v>
      </c>
      <c r="C1164">
        <v>25148</v>
      </c>
    </row>
    <row r="1165" spans="1:4" x14ac:dyDescent="0.25">
      <c r="A1165" t="s">
        <v>2196</v>
      </c>
      <c r="C1165">
        <v>25482</v>
      </c>
    </row>
    <row r="1166" spans="1:4" x14ac:dyDescent="0.25">
      <c r="A1166" t="s">
        <v>2197</v>
      </c>
      <c r="C1166">
        <v>25151</v>
      </c>
    </row>
    <row r="1167" spans="1:4" x14ac:dyDescent="0.25">
      <c r="A1167" t="s">
        <v>2198</v>
      </c>
      <c r="C1167">
        <v>25152</v>
      </c>
    </row>
    <row r="1168" spans="1:4" x14ac:dyDescent="0.25">
      <c r="A1168" t="s">
        <v>2199</v>
      </c>
      <c r="C1168">
        <v>25149</v>
      </c>
    </row>
    <row r="1169" spans="1:4" x14ac:dyDescent="0.25">
      <c r="A1169" t="s">
        <v>2200</v>
      </c>
      <c r="B1169" t="s">
        <v>2201</v>
      </c>
      <c r="C1169">
        <v>25150</v>
      </c>
      <c r="D1169" t="s">
        <v>252</v>
      </c>
    </row>
    <row r="1170" spans="1:4" x14ac:dyDescent="0.25">
      <c r="A1170" t="s">
        <v>2202</v>
      </c>
      <c r="C1170">
        <v>30922</v>
      </c>
    </row>
    <row r="1171" spans="1:4" x14ac:dyDescent="0.25">
      <c r="A1171" t="s">
        <v>2203</v>
      </c>
      <c r="C1171">
        <v>25483</v>
      </c>
    </row>
    <row r="1172" spans="1:4" x14ac:dyDescent="0.25">
      <c r="A1172" t="s">
        <v>2204</v>
      </c>
      <c r="C1172">
        <v>25153</v>
      </c>
    </row>
    <row r="1173" spans="1:4" x14ac:dyDescent="0.25">
      <c r="A1173" t="s">
        <v>2205</v>
      </c>
      <c r="C1173">
        <v>25154</v>
      </c>
    </row>
    <row r="1174" spans="1:4" x14ac:dyDescent="0.25">
      <c r="A1174" t="s">
        <v>2206</v>
      </c>
      <c r="C1174">
        <v>25155</v>
      </c>
    </row>
    <row r="1175" spans="1:4" x14ac:dyDescent="0.25">
      <c r="A1175" t="s">
        <v>2207</v>
      </c>
      <c r="C1175">
        <v>25156</v>
      </c>
    </row>
    <row r="1176" spans="1:4" x14ac:dyDescent="0.25">
      <c r="A1176" t="s">
        <v>2208</v>
      </c>
      <c r="B1176" t="s">
        <v>2209</v>
      </c>
      <c r="C1176">
        <v>30921</v>
      </c>
      <c r="D1176" t="s">
        <v>408</v>
      </c>
    </row>
    <row r="1177" spans="1:4" x14ac:dyDescent="0.25">
      <c r="A1177" t="s">
        <v>2210</v>
      </c>
      <c r="C1177">
        <v>25157</v>
      </c>
    </row>
    <row r="1178" spans="1:4" x14ac:dyDescent="0.25">
      <c r="A1178" t="s">
        <v>2211</v>
      </c>
      <c r="C1178">
        <v>30930</v>
      </c>
    </row>
    <row r="1179" spans="1:4" x14ac:dyDescent="0.25">
      <c r="A1179" t="s">
        <v>2212</v>
      </c>
      <c r="C1179">
        <v>25158</v>
      </c>
    </row>
    <row r="1180" spans="1:4" x14ac:dyDescent="0.25">
      <c r="A1180" t="s">
        <v>2213</v>
      </c>
      <c r="C1180">
        <v>25159</v>
      </c>
    </row>
    <row r="1181" spans="1:4" x14ac:dyDescent="0.25">
      <c r="A1181" t="s">
        <v>2214</v>
      </c>
      <c r="B1181" t="s">
        <v>2215</v>
      </c>
      <c r="C1181">
        <v>25161</v>
      </c>
    </row>
    <row r="1182" spans="1:4" x14ac:dyDescent="0.25">
      <c r="A1182" t="s">
        <v>2216</v>
      </c>
      <c r="C1182">
        <v>25162</v>
      </c>
    </row>
    <row r="1183" spans="1:4" x14ac:dyDescent="0.25">
      <c r="A1183" t="s">
        <v>2217</v>
      </c>
      <c r="C1183">
        <v>25484</v>
      </c>
    </row>
    <row r="1184" spans="1:4" x14ac:dyDescent="0.25">
      <c r="A1184" t="s">
        <v>2218</v>
      </c>
      <c r="C1184">
        <v>25160</v>
      </c>
    </row>
    <row r="1185" spans="1:4" x14ac:dyDescent="0.25">
      <c r="A1185" t="s">
        <v>2219</v>
      </c>
      <c r="B1185" t="s">
        <v>2220</v>
      </c>
      <c r="C1185">
        <v>25164</v>
      </c>
      <c r="D1185" t="s">
        <v>319</v>
      </c>
    </row>
    <row r="1186" spans="1:4" x14ac:dyDescent="0.25">
      <c r="A1186" t="s">
        <v>2221</v>
      </c>
      <c r="C1186">
        <v>25163</v>
      </c>
    </row>
    <row r="1187" spans="1:4" x14ac:dyDescent="0.25">
      <c r="A1187" t="s">
        <v>2222</v>
      </c>
      <c r="B1187" t="s">
        <v>2223</v>
      </c>
      <c r="C1187">
        <v>25166</v>
      </c>
      <c r="D1187" t="s">
        <v>211</v>
      </c>
    </row>
    <row r="1188" spans="1:4" x14ac:dyDescent="0.25">
      <c r="A1188" t="s">
        <v>2224</v>
      </c>
      <c r="C1188">
        <v>25165</v>
      </c>
    </row>
    <row r="1189" spans="1:4" x14ac:dyDescent="0.25">
      <c r="A1189" t="s">
        <v>2225</v>
      </c>
      <c r="B1189" t="s">
        <v>2226</v>
      </c>
      <c r="C1189">
        <v>25167</v>
      </c>
      <c r="D1189" t="s">
        <v>252</v>
      </c>
    </row>
    <row r="1190" spans="1:4" x14ac:dyDescent="0.25">
      <c r="A1190" t="s">
        <v>2227</v>
      </c>
      <c r="B1190" t="s">
        <v>2228</v>
      </c>
      <c r="C1190">
        <v>25168</v>
      </c>
      <c r="D1190" t="s">
        <v>319</v>
      </c>
    </row>
    <row r="1191" spans="1:4" x14ac:dyDescent="0.25">
      <c r="A1191" t="s">
        <v>2229</v>
      </c>
      <c r="B1191" t="s">
        <v>2230</v>
      </c>
      <c r="C1191">
        <v>25169</v>
      </c>
      <c r="D1191" t="s">
        <v>319</v>
      </c>
    </row>
    <row r="1192" spans="1:4" x14ac:dyDescent="0.25">
      <c r="A1192" t="s">
        <v>2231</v>
      </c>
      <c r="C1192">
        <v>30924</v>
      </c>
    </row>
    <row r="1193" spans="1:4" x14ac:dyDescent="0.25">
      <c r="A1193" t="s">
        <v>2232</v>
      </c>
      <c r="B1193" t="s">
        <v>2233</v>
      </c>
      <c r="C1193">
        <v>25170</v>
      </c>
      <c r="D1193" t="s">
        <v>252</v>
      </c>
    </row>
    <row r="1194" spans="1:4" x14ac:dyDescent="0.25">
      <c r="A1194" t="s">
        <v>2234</v>
      </c>
      <c r="C1194">
        <v>25171</v>
      </c>
    </row>
    <row r="1195" spans="1:4" x14ac:dyDescent="0.25">
      <c r="A1195" t="s">
        <v>2235</v>
      </c>
      <c r="C1195">
        <v>25172</v>
      </c>
    </row>
    <row r="1196" spans="1:4" x14ac:dyDescent="0.25">
      <c r="A1196" t="s">
        <v>2236</v>
      </c>
      <c r="C1196">
        <v>25173</v>
      </c>
    </row>
    <row r="1197" spans="1:4" x14ac:dyDescent="0.25">
      <c r="A1197" t="s">
        <v>2237</v>
      </c>
      <c r="C1197">
        <v>42411</v>
      </c>
    </row>
    <row r="1198" spans="1:4" x14ac:dyDescent="0.25">
      <c r="A1198" t="s">
        <v>2238</v>
      </c>
      <c r="C1198">
        <v>30827</v>
      </c>
    </row>
    <row r="1199" spans="1:4" x14ac:dyDescent="0.25">
      <c r="A1199" t="s">
        <v>2239</v>
      </c>
      <c r="B1199" t="s">
        <v>2240</v>
      </c>
      <c r="C1199">
        <v>25176</v>
      </c>
    </row>
    <row r="1200" spans="1:4" x14ac:dyDescent="0.25">
      <c r="A1200" t="s">
        <v>2241</v>
      </c>
      <c r="C1200">
        <v>25177</v>
      </c>
    </row>
    <row r="1201" spans="1:4" x14ac:dyDescent="0.25">
      <c r="A1201" t="s">
        <v>2242</v>
      </c>
      <c r="C1201">
        <v>30925</v>
      </c>
    </row>
    <row r="1202" spans="1:4" x14ac:dyDescent="0.25">
      <c r="A1202" t="s">
        <v>2243</v>
      </c>
      <c r="C1202">
        <v>25178</v>
      </c>
    </row>
    <row r="1203" spans="1:4" x14ac:dyDescent="0.25">
      <c r="A1203" t="s">
        <v>2244</v>
      </c>
      <c r="B1203" t="s">
        <v>2245</v>
      </c>
      <c r="C1203">
        <v>25179</v>
      </c>
      <c r="D1203" t="s">
        <v>319</v>
      </c>
    </row>
    <row r="1204" spans="1:4" x14ac:dyDescent="0.25">
      <c r="A1204" t="s">
        <v>2246</v>
      </c>
      <c r="C1204">
        <v>25180</v>
      </c>
    </row>
    <row r="1205" spans="1:4" x14ac:dyDescent="0.25">
      <c r="A1205" t="s">
        <v>2247</v>
      </c>
      <c r="C1205">
        <v>25181</v>
      </c>
    </row>
    <row r="1206" spans="1:4" x14ac:dyDescent="0.25">
      <c r="A1206" t="s">
        <v>2248</v>
      </c>
      <c r="B1206" t="s">
        <v>2249</v>
      </c>
      <c r="C1206">
        <v>25182</v>
      </c>
      <c r="D1206" t="s">
        <v>231</v>
      </c>
    </row>
    <row r="1207" spans="1:4" x14ac:dyDescent="0.25">
      <c r="A1207" t="s">
        <v>2250</v>
      </c>
      <c r="C1207">
        <v>25183</v>
      </c>
    </row>
    <row r="1208" spans="1:4" x14ac:dyDescent="0.25">
      <c r="A1208" t="s">
        <v>2251</v>
      </c>
      <c r="B1208" t="s">
        <v>2252</v>
      </c>
      <c r="C1208">
        <v>47985</v>
      </c>
    </row>
    <row r="1209" spans="1:4" x14ac:dyDescent="0.25">
      <c r="A1209" t="s">
        <v>2253</v>
      </c>
      <c r="B1209" t="s">
        <v>2254</v>
      </c>
      <c r="C1209">
        <v>47986</v>
      </c>
      <c r="D1209" t="s">
        <v>654</v>
      </c>
    </row>
    <row r="1210" spans="1:4" x14ac:dyDescent="0.25">
      <c r="A1210" t="s">
        <v>2255</v>
      </c>
      <c r="B1210" t="s">
        <v>2256</v>
      </c>
      <c r="C1210">
        <v>33950</v>
      </c>
      <c r="D1210" t="s">
        <v>408</v>
      </c>
    </row>
    <row r="1211" spans="1:4" x14ac:dyDescent="0.25">
      <c r="A1211" t="s">
        <v>2257</v>
      </c>
      <c r="B1211" t="s">
        <v>2258</v>
      </c>
      <c r="C1211">
        <v>33951</v>
      </c>
      <c r="D1211" t="s">
        <v>211</v>
      </c>
    </row>
    <row r="1212" spans="1:4" x14ac:dyDescent="0.25">
      <c r="A1212" t="s">
        <v>2259</v>
      </c>
      <c r="C1212">
        <v>25005</v>
      </c>
    </row>
    <row r="1213" spans="1:4" x14ac:dyDescent="0.25">
      <c r="A1213" t="s">
        <v>2260</v>
      </c>
      <c r="B1213" t="s">
        <v>2261</v>
      </c>
      <c r="C1213">
        <v>47987</v>
      </c>
    </row>
    <row r="1214" spans="1:4" x14ac:dyDescent="0.25">
      <c r="A1214" t="s">
        <v>2262</v>
      </c>
      <c r="B1214" t="s">
        <v>2263</v>
      </c>
      <c r="C1214">
        <v>25486</v>
      </c>
    </row>
    <row r="1215" spans="1:4" x14ac:dyDescent="0.25">
      <c r="A1215" t="s">
        <v>2264</v>
      </c>
      <c r="B1215" t="s">
        <v>2265</v>
      </c>
      <c r="C1215">
        <v>25238</v>
      </c>
      <c r="D1215" t="s">
        <v>211</v>
      </c>
    </row>
    <row r="1216" spans="1:4" x14ac:dyDescent="0.25">
      <c r="A1216" t="s">
        <v>2266</v>
      </c>
      <c r="B1216" t="s">
        <v>2263</v>
      </c>
      <c r="C1216">
        <v>25239</v>
      </c>
    </row>
    <row r="1217" spans="1:4" x14ac:dyDescent="0.25">
      <c r="A1217" t="s">
        <v>2267</v>
      </c>
      <c r="B1217" t="s">
        <v>2268</v>
      </c>
      <c r="C1217">
        <v>24573</v>
      </c>
    </row>
    <row r="1218" spans="1:4" x14ac:dyDescent="0.25">
      <c r="A1218" t="s">
        <v>2269</v>
      </c>
      <c r="B1218" t="s">
        <v>2268</v>
      </c>
      <c r="C1218">
        <v>47988</v>
      </c>
    </row>
    <row r="1219" spans="1:4" x14ac:dyDescent="0.25">
      <c r="A1219" t="s">
        <v>2270</v>
      </c>
      <c r="B1219" t="s">
        <v>2271</v>
      </c>
      <c r="C1219">
        <v>25659</v>
      </c>
    </row>
    <row r="1220" spans="1:4" x14ac:dyDescent="0.25">
      <c r="A1220" t="s">
        <v>2272</v>
      </c>
      <c r="B1220" t="s">
        <v>2271</v>
      </c>
      <c r="C1220">
        <v>24576</v>
      </c>
    </row>
    <row r="1221" spans="1:4" x14ac:dyDescent="0.25">
      <c r="A1221" t="s">
        <v>2273</v>
      </c>
      <c r="B1221" t="s">
        <v>2274</v>
      </c>
      <c r="C1221">
        <v>25661</v>
      </c>
    </row>
    <row r="1222" spans="1:4" x14ac:dyDescent="0.25">
      <c r="A1222" t="s">
        <v>2275</v>
      </c>
      <c r="B1222" t="s">
        <v>2274</v>
      </c>
      <c r="C1222">
        <v>24582</v>
      </c>
    </row>
    <row r="1223" spans="1:4" x14ac:dyDescent="0.25">
      <c r="A1223" t="s">
        <v>2276</v>
      </c>
      <c r="B1223" t="s">
        <v>2277</v>
      </c>
      <c r="C1223">
        <v>25739</v>
      </c>
      <c r="D1223" t="s">
        <v>267</v>
      </c>
    </row>
    <row r="1224" spans="1:4" x14ac:dyDescent="0.25">
      <c r="A1224" t="s">
        <v>2278</v>
      </c>
      <c r="B1224" t="s">
        <v>2277</v>
      </c>
      <c r="C1224">
        <v>30849</v>
      </c>
      <c r="D1224" t="s">
        <v>267</v>
      </c>
    </row>
    <row r="1225" spans="1:4" x14ac:dyDescent="0.25">
      <c r="A1225" t="s">
        <v>2279</v>
      </c>
      <c r="B1225" t="s">
        <v>2277</v>
      </c>
      <c r="C1225">
        <v>24794</v>
      </c>
      <c r="D1225" t="s">
        <v>267</v>
      </c>
    </row>
    <row r="1226" spans="1:4" x14ac:dyDescent="0.25">
      <c r="A1226" t="s">
        <v>2280</v>
      </c>
      <c r="B1226" t="s">
        <v>2281</v>
      </c>
      <c r="C1226">
        <v>24795</v>
      </c>
      <c r="D1226" t="s">
        <v>267</v>
      </c>
    </row>
    <row r="1227" spans="1:4" x14ac:dyDescent="0.25">
      <c r="A1227" t="s">
        <v>2282</v>
      </c>
      <c r="B1227" t="s">
        <v>2283</v>
      </c>
      <c r="C1227">
        <v>25413</v>
      </c>
    </row>
    <row r="1228" spans="1:4" x14ac:dyDescent="0.25">
      <c r="A1228" t="s">
        <v>2284</v>
      </c>
      <c r="B1228" t="s">
        <v>2285</v>
      </c>
      <c r="C1228">
        <v>25414</v>
      </c>
    </row>
    <row r="1229" spans="1:4" x14ac:dyDescent="0.25">
      <c r="A1229" t="s">
        <v>2286</v>
      </c>
      <c r="B1229" t="s">
        <v>2287</v>
      </c>
      <c r="C1229">
        <v>25415</v>
      </c>
    </row>
    <row r="1230" spans="1:4" x14ac:dyDescent="0.25">
      <c r="A1230" t="s">
        <v>2288</v>
      </c>
      <c r="B1230" t="s">
        <v>2289</v>
      </c>
      <c r="C1230">
        <v>30931</v>
      </c>
    </row>
    <row r="1231" spans="1:4" x14ac:dyDescent="0.25">
      <c r="A1231" t="s">
        <v>2290</v>
      </c>
      <c r="B1231" t="s">
        <v>2291</v>
      </c>
      <c r="C1231">
        <v>34119</v>
      </c>
    </row>
    <row r="1232" spans="1:4" x14ac:dyDescent="0.25">
      <c r="A1232" t="s">
        <v>2292</v>
      </c>
      <c r="B1232" t="s">
        <v>2293</v>
      </c>
      <c r="C1232">
        <v>42461</v>
      </c>
    </row>
    <row r="1233" spans="1:4" x14ac:dyDescent="0.25">
      <c r="A1233" t="s">
        <v>2294</v>
      </c>
      <c r="B1233" t="s">
        <v>2295</v>
      </c>
      <c r="C1233">
        <v>30932</v>
      </c>
      <c r="D1233" t="s">
        <v>267</v>
      </c>
    </row>
    <row r="1234" spans="1:4" x14ac:dyDescent="0.25">
      <c r="A1234" t="s">
        <v>2296</v>
      </c>
      <c r="B1234" t="s">
        <v>2297</v>
      </c>
      <c r="C1234">
        <v>42420</v>
      </c>
      <c r="D1234" t="s">
        <v>2298</v>
      </c>
    </row>
    <row r="1235" spans="1:4" x14ac:dyDescent="0.25">
      <c r="A1235" t="s">
        <v>2299</v>
      </c>
      <c r="B1235" t="s">
        <v>2295</v>
      </c>
      <c r="C1235">
        <v>25740</v>
      </c>
      <c r="D1235" t="s">
        <v>267</v>
      </c>
    </row>
    <row r="1236" spans="1:4" x14ac:dyDescent="0.25">
      <c r="A1236" t="s">
        <v>2300</v>
      </c>
      <c r="B1236" t="s">
        <v>2301</v>
      </c>
      <c r="C1236">
        <v>24796</v>
      </c>
      <c r="D1236" t="s">
        <v>2302</v>
      </c>
    </row>
    <row r="1237" spans="1:4" x14ac:dyDescent="0.25">
      <c r="A1237" t="s">
        <v>2303</v>
      </c>
      <c r="B1237" t="s">
        <v>2304</v>
      </c>
      <c r="C1237">
        <v>25741</v>
      </c>
      <c r="D1237" t="s">
        <v>267</v>
      </c>
    </row>
    <row r="1238" spans="1:4" x14ac:dyDescent="0.25">
      <c r="A1238" t="s">
        <v>2305</v>
      </c>
      <c r="B1238" t="s">
        <v>2304</v>
      </c>
      <c r="C1238">
        <v>24797</v>
      </c>
      <c r="D1238" t="s">
        <v>267</v>
      </c>
    </row>
    <row r="1239" spans="1:4" x14ac:dyDescent="0.25">
      <c r="A1239" t="s">
        <v>2306</v>
      </c>
      <c r="B1239" t="s">
        <v>2307</v>
      </c>
      <c r="C1239">
        <v>41411</v>
      </c>
    </row>
    <row r="1240" spans="1:4" x14ac:dyDescent="0.25">
      <c r="A1240" t="s">
        <v>2308</v>
      </c>
      <c r="B1240" t="s">
        <v>2309</v>
      </c>
      <c r="C1240">
        <v>41412</v>
      </c>
      <c r="D1240" t="s">
        <v>211</v>
      </c>
    </row>
    <row r="1241" spans="1:4" x14ac:dyDescent="0.25">
      <c r="A1241" t="s">
        <v>2310</v>
      </c>
      <c r="B1241" t="s">
        <v>2311</v>
      </c>
      <c r="C1241">
        <v>41413</v>
      </c>
    </row>
    <row r="1242" spans="1:4" x14ac:dyDescent="0.25">
      <c r="A1242" t="s">
        <v>2312</v>
      </c>
      <c r="B1242" t="s">
        <v>2313</v>
      </c>
      <c r="C1242">
        <v>41414</v>
      </c>
    </row>
    <row r="1243" spans="1:4" x14ac:dyDescent="0.25">
      <c r="A1243" t="s">
        <v>2314</v>
      </c>
      <c r="B1243" t="s">
        <v>2315</v>
      </c>
      <c r="C1243">
        <v>41415</v>
      </c>
      <c r="D1243" t="s">
        <v>211</v>
      </c>
    </row>
    <row r="1244" spans="1:4" x14ac:dyDescent="0.25">
      <c r="A1244" t="s">
        <v>2316</v>
      </c>
      <c r="B1244" t="s">
        <v>2313</v>
      </c>
      <c r="C1244">
        <v>41416</v>
      </c>
    </row>
    <row r="1245" spans="1:4" x14ac:dyDescent="0.25">
      <c r="A1245" t="s">
        <v>2317</v>
      </c>
      <c r="B1245" t="s">
        <v>2318</v>
      </c>
      <c r="C1245">
        <v>41417</v>
      </c>
    </row>
    <row r="1246" spans="1:4" x14ac:dyDescent="0.25">
      <c r="A1246" t="s">
        <v>2319</v>
      </c>
      <c r="B1246" t="s">
        <v>2320</v>
      </c>
      <c r="C1246">
        <v>24059</v>
      </c>
    </row>
    <row r="1247" spans="1:4" x14ac:dyDescent="0.25">
      <c r="A1247" t="s">
        <v>2321</v>
      </c>
      <c r="B1247" t="s">
        <v>2322</v>
      </c>
      <c r="C1247">
        <v>42413</v>
      </c>
    </row>
    <row r="1248" spans="1:4" x14ac:dyDescent="0.25">
      <c r="A1248" t="s">
        <v>2323</v>
      </c>
      <c r="B1248" t="s">
        <v>2324</v>
      </c>
      <c r="C1248">
        <v>25378</v>
      </c>
    </row>
    <row r="1249" spans="1:3" x14ac:dyDescent="0.25">
      <c r="A1249" t="s">
        <v>2325</v>
      </c>
      <c r="B1249" t="s">
        <v>2326</v>
      </c>
      <c r="C1249">
        <v>41418</v>
      </c>
    </row>
    <row r="1250" spans="1:3" x14ac:dyDescent="0.25">
      <c r="A1250" t="s">
        <v>2327</v>
      </c>
      <c r="B1250" t="s">
        <v>2328</v>
      </c>
      <c r="C1250">
        <v>41419</v>
      </c>
    </row>
    <row r="1251" spans="1:3" x14ac:dyDescent="0.25">
      <c r="A1251" t="s">
        <v>2329</v>
      </c>
      <c r="B1251" t="s">
        <v>2330</v>
      </c>
      <c r="C1251">
        <v>25379</v>
      </c>
    </row>
    <row r="1252" spans="1:3" x14ac:dyDescent="0.25">
      <c r="A1252" t="s">
        <v>2331</v>
      </c>
      <c r="B1252" t="s">
        <v>2332</v>
      </c>
      <c r="C1252">
        <v>25380</v>
      </c>
    </row>
    <row r="1253" spans="1:3" x14ac:dyDescent="0.25">
      <c r="A1253" t="s">
        <v>2333</v>
      </c>
      <c r="B1253" t="s">
        <v>2334</v>
      </c>
      <c r="C1253">
        <v>25382</v>
      </c>
    </row>
    <row r="1254" spans="1:3" x14ac:dyDescent="0.25">
      <c r="A1254" t="s">
        <v>2335</v>
      </c>
      <c r="B1254" t="s">
        <v>2336</v>
      </c>
      <c r="C1254">
        <v>25381</v>
      </c>
    </row>
    <row r="1255" spans="1:3" x14ac:dyDescent="0.25">
      <c r="A1255" t="s">
        <v>2337</v>
      </c>
      <c r="B1255" t="s">
        <v>2338</v>
      </c>
      <c r="C1255">
        <v>25383</v>
      </c>
    </row>
    <row r="1256" spans="1:3" x14ac:dyDescent="0.25">
      <c r="A1256" t="s">
        <v>2339</v>
      </c>
      <c r="B1256" t="s">
        <v>2340</v>
      </c>
      <c r="C1256">
        <v>25384</v>
      </c>
    </row>
    <row r="1257" spans="1:3" x14ac:dyDescent="0.25">
      <c r="A1257" t="s">
        <v>2341</v>
      </c>
      <c r="B1257" t="s">
        <v>2342</v>
      </c>
      <c r="C1257">
        <v>25385</v>
      </c>
    </row>
    <row r="1258" spans="1:3" x14ac:dyDescent="0.25">
      <c r="A1258" t="s">
        <v>2343</v>
      </c>
      <c r="B1258" t="s">
        <v>2344</v>
      </c>
      <c r="C1258">
        <v>25386</v>
      </c>
    </row>
    <row r="1259" spans="1:3" x14ac:dyDescent="0.25">
      <c r="A1259" t="s">
        <v>2345</v>
      </c>
      <c r="B1259" t="s">
        <v>2346</v>
      </c>
      <c r="C1259">
        <v>25387</v>
      </c>
    </row>
    <row r="1260" spans="1:3" x14ac:dyDescent="0.25">
      <c r="A1260" t="s">
        <v>2347</v>
      </c>
      <c r="B1260" t="s">
        <v>2348</v>
      </c>
      <c r="C1260">
        <v>25388</v>
      </c>
    </row>
    <row r="1261" spans="1:3" x14ac:dyDescent="0.25">
      <c r="A1261" t="s">
        <v>2349</v>
      </c>
      <c r="B1261" t="s">
        <v>2350</v>
      </c>
      <c r="C1261">
        <v>25389</v>
      </c>
    </row>
    <row r="1262" spans="1:3" x14ac:dyDescent="0.25">
      <c r="A1262" t="s">
        <v>2351</v>
      </c>
      <c r="B1262" t="s">
        <v>2352</v>
      </c>
      <c r="C1262">
        <v>25390</v>
      </c>
    </row>
    <row r="1263" spans="1:3" x14ac:dyDescent="0.25">
      <c r="A1263" t="s">
        <v>2353</v>
      </c>
      <c r="B1263" t="s">
        <v>2354</v>
      </c>
      <c r="C1263">
        <v>25391</v>
      </c>
    </row>
    <row r="1264" spans="1:3" x14ac:dyDescent="0.25">
      <c r="A1264" t="s">
        <v>2355</v>
      </c>
      <c r="B1264" t="s">
        <v>2356</v>
      </c>
      <c r="C1264">
        <v>25392</v>
      </c>
    </row>
    <row r="1265" spans="1:3" x14ac:dyDescent="0.25">
      <c r="A1265" t="s">
        <v>2357</v>
      </c>
      <c r="B1265" t="s">
        <v>2358</v>
      </c>
      <c r="C1265">
        <v>25393</v>
      </c>
    </row>
    <row r="1266" spans="1:3" x14ac:dyDescent="0.25">
      <c r="A1266" t="s">
        <v>2359</v>
      </c>
      <c r="B1266" t="s">
        <v>2360</v>
      </c>
      <c r="C1266">
        <v>30813</v>
      </c>
    </row>
    <row r="1267" spans="1:3" x14ac:dyDescent="0.25">
      <c r="A1267" t="s">
        <v>2361</v>
      </c>
      <c r="B1267" t="s">
        <v>2362</v>
      </c>
      <c r="C1267">
        <v>25394</v>
      </c>
    </row>
    <row r="1268" spans="1:3" x14ac:dyDescent="0.25">
      <c r="A1268" t="s">
        <v>2363</v>
      </c>
      <c r="B1268" t="s">
        <v>2364</v>
      </c>
      <c r="C1268">
        <v>30811</v>
      </c>
    </row>
    <row r="1269" spans="1:3" x14ac:dyDescent="0.25">
      <c r="A1269" t="s">
        <v>2365</v>
      </c>
      <c r="B1269" t="s">
        <v>2366</v>
      </c>
      <c r="C1269">
        <v>24212</v>
      </c>
    </row>
    <row r="1270" spans="1:3" x14ac:dyDescent="0.25">
      <c r="A1270" t="s">
        <v>2367</v>
      </c>
      <c r="B1270" t="s">
        <v>2368</v>
      </c>
      <c r="C1270">
        <v>30868</v>
      </c>
    </row>
    <row r="1271" spans="1:3" x14ac:dyDescent="0.25">
      <c r="A1271" t="s">
        <v>2369</v>
      </c>
      <c r="B1271" t="s">
        <v>2370</v>
      </c>
      <c r="C1271">
        <v>25683</v>
      </c>
    </row>
    <row r="1272" spans="1:3" x14ac:dyDescent="0.25">
      <c r="A1272" t="s">
        <v>2371</v>
      </c>
      <c r="B1272" t="s">
        <v>2370</v>
      </c>
      <c r="C1272">
        <v>24634</v>
      </c>
    </row>
    <row r="1273" spans="1:3" x14ac:dyDescent="0.25">
      <c r="A1273" t="s">
        <v>2372</v>
      </c>
      <c r="B1273" t="s">
        <v>2373</v>
      </c>
      <c r="C1273">
        <v>24635</v>
      </c>
    </row>
    <row r="1274" spans="1:3" x14ac:dyDescent="0.25">
      <c r="A1274" t="s">
        <v>2374</v>
      </c>
      <c r="B1274" t="s">
        <v>2375</v>
      </c>
      <c r="C1274">
        <v>24636</v>
      </c>
    </row>
    <row r="1275" spans="1:3" x14ac:dyDescent="0.25">
      <c r="A1275" t="s">
        <v>2376</v>
      </c>
      <c r="B1275" t="s">
        <v>2377</v>
      </c>
      <c r="C1275">
        <v>24637</v>
      </c>
    </row>
    <row r="1276" spans="1:3" x14ac:dyDescent="0.25">
      <c r="A1276" t="s">
        <v>2378</v>
      </c>
      <c r="C1276">
        <v>42414</v>
      </c>
    </row>
    <row r="1277" spans="1:3" x14ac:dyDescent="0.25">
      <c r="A1277" t="s">
        <v>2379</v>
      </c>
      <c r="B1277" t="s">
        <v>2380</v>
      </c>
      <c r="C1277">
        <v>41420</v>
      </c>
    </row>
    <row r="1278" spans="1:3" x14ac:dyDescent="0.25">
      <c r="A1278" t="s">
        <v>2381</v>
      </c>
      <c r="C1278">
        <v>30938</v>
      </c>
    </row>
    <row r="1279" spans="1:3" x14ac:dyDescent="0.25">
      <c r="A1279" t="s">
        <v>2382</v>
      </c>
      <c r="C1279">
        <v>30935</v>
      </c>
    </row>
    <row r="1280" spans="1:3" x14ac:dyDescent="0.25">
      <c r="A1280" t="s">
        <v>2383</v>
      </c>
      <c r="C1280">
        <v>42415</v>
      </c>
    </row>
    <row r="1281" spans="1:4" x14ac:dyDescent="0.25">
      <c r="A1281" t="s">
        <v>2384</v>
      </c>
      <c r="C1281">
        <v>30933</v>
      </c>
    </row>
    <row r="1282" spans="1:4" x14ac:dyDescent="0.25">
      <c r="A1282" t="s">
        <v>2385</v>
      </c>
      <c r="C1282">
        <v>30934</v>
      </c>
    </row>
    <row r="1283" spans="1:4" x14ac:dyDescent="0.25">
      <c r="A1283" t="s">
        <v>2386</v>
      </c>
      <c r="B1283" t="s">
        <v>2387</v>
      </c>
      <c r="C1283">
        <v>24180</v>
      </c>
      <c r="D1283" t="s">
        <v>211</v>
      </c>
    </row>
    <row r="1284" spans="1:4" x14ac:dyDescent="0.25">
      <c r="A1284" t="s">
        <v>2388</v>
      </c>
      <c r="B1284" t="s">
        <v>2389</v>
      </c>
      <c r="C1284">
        <v>24171</v>
      </c>
    </row>
    <row r="1285" spans="1:4" x14ac:dyDescent="0.25">
      <c r="A1285" t="s">
        <v>2390</v>
      </c>
      <c r="B1285" t="s">
        <v>2389</v>
      </c>
      <c r="C1285">
        <v>47989</v>
      </c>
    </row>
    <row r="1286" spans="1:4" x14ac:dyDescent="0.25">
      <c r="A1286" t="s">
        <v>2391</v>
      </c>
      <c r="B1286" t="s">
        <v>2392</v>
      </c>
      <c r="C1286">
        <v>24690</v>
      </c>
      <c r="D1286" t="s">
        <v>267</v>
      </c>
    </row>
    <row r="1287" spans="1:4" x14ac:dyDescent="0.25">
      <c r="A1287" t="s">
        <v>2393</v>
      </c>
      <c r="B1287" t="s">
        <v>2394</v>
      </c>
      <c r="C1287">
        <v>24691</v>
      </c>
      <c r="D1287" t="s">
        <v>267</v>
      </c>
    </row>
    <row r="1288" spans="1:4" x14ac:dyDescent="0.25">
      <c r="A1288" t="s">
        <v>2395</v>
      </c>
      <c r="B1288" t="s">
        <v>2396</v>
      </c>
      <c r="C1288">
        <v>24129</v>
      </c>
    </row>
    <row r="1289" spans="1:4" x14ac:dyDescent="0.25">
      <c r="A1289" t="s">
        <v>2397</v>
      </c>
      <c r="B1289" t="s">
        <v>2398</v>
      </c>
      <c r="C1289">
        <v>24130</v>
      </c>
    </row>
    <row r="1290" spans="1:4" x14ac:dyDescent="0.25">
      <c r="A1290" t="s">
        <v>2399</v>
      </c>
      <c r="B1290" t="s">
        <v>2400</v>
      </c>
      <c r="C1290">
        <v>24132</v>
      </c>
    </row>
    <row r="1291" spans="1:4" x14ac:dyDescent="0.25">
      <c r="A1291" t="s">
        <v>2401</v>
      </c>
      <c r="B1291" t="s">
        <v>2400</v>
      </c>
      <c r="C1291">
        <v>47990</v>
      </c>
    </row>
    <row r="1292" spans="1:4" x14ac:dyDescent="0.25">
      <c r="A1292" t="s">
        <v>2402</v>
      </c>
      <c r="B1292" t="s">
        <v>2403</v>
      </c>
      <c r="C1292">
        <v>24135</v>
      </c>
    </row>
    <row r="1293" spans="1:4" x14ac:dyDescent="0.25">
      <c r="A1293" t="s">
        <v>2404</v>
      </c>
      <c r="B1293" t="s">
        <v>2405</v>
      </c>
      <c r="C1293">
        <v>24136</v>
      </c>
    </row>
    <row r="1294" spans="1:4" x14ac:dyDescent="0.25">
      <c r="A1294" t="s">
        <v>2406</v>
      </c>
      <c r="B1294" t="s">
        <v>2407</v>
      </c>
      <c r="C1294">
        <v>24168</v>
      </c>
      <c r="D1294" t="s">
        <v>211</v>
      </c>
    </row>
    <row r="1295" spans="1:4" x14ac:dyDescent="0.25">
      <c r="A1295" t="s">
        <v>2408</v>
      </c>
      <c r="B1295" t="s">
        <v>2409</v>
      </c>
      <c r="C1295">
        <v>24169</v>
      </c>
      <c r="D1295" t="s">
        <v>654</v>
      </c>
    </row>
    <row r="1296" spans="1:4" x14ac:dyDescent="0.25">
      <c r="A1296" t="s">
        <v>2410</v>
      </c>
      <c r="B1296" t="s">
        <v>2411</v>
      </c>
      <c r="C1296">
        <v>24326</v>
      </c>
    </row>
    <row r="1297" spans="1:4" x14ac:dyDescent="0.25">
      <c r="A1297" t="s">
        <v>2412</v>
      </c>
      <c r="B1297" t="s">
        <v>2413</v>
      </c>
      <c r="C1297">
        <v>25649</v>
      </c>
    </row>
    <row r="1298" spans="1:4" x14ac:dyDescent="0.25">
      <c r="A1298" t="s">
        <v>2414</v>
      </c>
      <c r="B1298" t="s">
        <v>2415</v>
      </c>
      <c r="C1298">
        <v>24542</v>
      </c>
      <c r="D1298" t="s">
        <v>408</v>
      </c>
    </row>
    <row r="1299" spans="1:4" x14ac:dyDescent="0.25">
      <c r="A1299" t="s">
        <v>2416</v>
      </c>
      <c r="B1299" t="s">
        <v>2417</v>
      </c>
      <c r="C1299">
        <v>25650</v>
      </c>
    </row>
    <row r="1300" spans="1:4" x14ac:dyDescent="0.25">
      <c r="A1300" t="s">
        <v>2418</v>
      </c>
      <c r="B1300" t="s">
        <v>2419</v>
      </c>
      <c r="C1300">
        <v>25651</v>
      </c>
    </row>
    <row r="1301" spans="1:4" x14ac:dyDescent="0.25">
      <c r="A1301" t="s">
        <v>2420</v>
      </c>
      <c r="B1301" t="s">
        <v>2419</v>
      </c>
      <c r="C1301">
        <v>24544</v>
      </c>
    </row>
    <row r="1302" spans="1:4" x14ac:dyDescent="0.25">
      <c r="A1302" t="s">
        <v>2421</v>
      </c>
      <c r="B1302" t="s">
        <v>2422</v>
      </c>
      <c r="C1302">
        <v>24545</v>
      </c>
      <c r="D1302" t="s">
        <v>211</v>
      </c>
    </row>
    <row r="1303" spans="1:4" x14ac:dyDescent="0.25">
      <c r="A1303" t="s">
        <v>2423</v>
      </c>
      <c r="B1303" t="s">
        <v>2419</v>
      </c>
      <c r="C1303">
        <v>24546</v>
      </c>
    </row>
    <row r="1304" spans="1:4" x14ac:dyDescent="0.25">
      <c r="A1304" t="s">
        <v>2424</v>
      </c>
      <c r="B1304" t="s">
        <v>2425</v>
      </c>
      <c r="C1304">
        <v>25652</v>
      </c>
    </row>
    <row r="1305" spans="1:4" x14ac:dyDescent="0.25">
      <c r="A1305" t="s">
        <v>2426</v>
      </c>
      <c r="B1305" t="s">
        <v>2427</v>
      </c>
      <c r="C1305">
        <v>24547</v>
      </c>
      <c r="D1305" t="s">
        <v>211</v>
      </c>
    </row>
    <row r="1306" spans="1:4" x14ac:dyDescent="0.25">
      <c r="A1306" t="s">
        <v>2428</v>
      </c>
      <c r="B1306" t="s">
        <v>2425</v>
      </c>
      <c r="C1306">
        <v>24549</v>
      </c>
    </row>
    <row r="1307" spans="1:4" x14ac:dyDescent="0.25">
      <c r="A1307" t="s">
        <v>2429</v>
      </c>
      <c r="B1307" t="s">
        <v>2430</v>
      </c>
      <c r="C1307">
        <v>24548</v>
      </c>
      <c r="D1307" t="s">
        <v>211</v>
      </c>
    </row>
    <row r="1308" spans="1:4" x14ac:dyDescent="0.25">
      <c r="A1308" t="s">
        <v>2431</v>
      </c>
      <c r="B1308" t="s">
        <v>2432</v>
      </c>
      <c r="C1308">
        <v>25653</v>
      </c>
    </row>
    <row r="1309" spans="1:4" x14ac:dyDescent="0.25">
      <c r="A1309" t="s">
        <v>2433</v>
      </c>
      <c r="B1309" t="s">
        <v>2432</v>
      </c>
      <c r="C1309">
        <v>24550</v>
      </c>
    </row>
    <row r="1310" spans="1:4" x14ac:dyDescent="0.25">
      <c r="A1310" t="s">
        <v>2434</v>
      </c>
      <c r="B1310" t="s">
        <v>2435</v>
      </c>
      <c r="C1310">
        <v>24551</v>
      </c>
    </row>
    <row r="1311" spans="1:4" x14ac:dyDescent="0.25">
      <c r="A1311" t="s">
        <v>2436</v>
      </c>
      <c r="B1311" t="s">
        <v>2437</v>
      </c>
      <c r="C1311">
        <v>25654</v>
      </c>
    </row>
    <row r="1312" spans="1:4" x14ac:dyDescent="0.25">
      <c r="A1312" t="s">
        <v>2438</v>
      </c>
      <c r="B1312" t="s">
        <v>2437</v>
      </c>
      <c r="C1312">
        <v>30859</v>
      </c>
    </row>
    <row r="1313" spans="1:4" x14ac:dyDescent="0.25">
      <c r="A1313" t="s">
        <v>2439</v>
      </c>
      <c r="B1313" t="s">
        <v>2437</v>
      </c>
      <c r="C1313">
        <v>24552</v>
      </c>
    </row>
    <row r="1314" spans="1:4" x14ac:dyDescent="0.25">
      <c r="A1314" t="s">
        <v>2440</v>
      </c>
      <c r="B1314" t="s">
        <v>2441</v>
      </c>
      <c r="C1314">
        <v>24583</v>
      </c>
    </row>
    <row r="1315" spans="1:4" x14ac:dyDescent="0.25">
      <c r="A1315" t="s">
        <v>2442</v>
      </c>
      <c r="B1315" t="s">
        <v>2443</v>
      </c>
      <c r="C1315">
        <v>47993</v>
      </c>
      <c r="D1315" t="s">
        <v>281</v>
      </c>
    </row>
    <row r="1316" spans="1:4" x14ac:dyDescent="0.25">
      <c r="A1316" t="s">
        <v>2444</v>
      </c>
      <c r="B1316" t="s">
        <v>2445</v>
      </c>
      <c r="C1316">
        <v>47994</v>
      </c>
    </row>
    <row r="1317" spans="1:4" x14ac:dyDescent="0.25">
      <c r="A1317" t="s">
        <v>2446</v>
      </c>
      <c r="B1317" t="s">
        <v>2447</v>
      </c>
      <c r="C1317">
        <v>25758</v>
      </c>
    </row>
    <row r="1318" spans="1:4" x14ac:dyDescent="0.25">
      <c r="A1318" t="s">
        <v>2448</v>
      </c>
      <c r="B1318" t="s">
        <v>2447</v>
      </c>
      <c r="C1318">
        <v>24838</v>
      </c>
    </row>
    <row r="1319" spans="1:4" x14ac:dyDescent="0.25">
      <c r="A1319" t="s">
        <v>2449</v>
      </c>
      <c r="B1319" t="s">
        <v>2450</v>
      </c>
      <c r="C1319">
        <v>47995</v>
      </c>
    </row>
    <row r="1320" spans="1:4" x14ac:dyDescent="0.25">
      <c r="A1320" t="s">
        <v>2451</v>
      </c>
      <c r="B1320" t="s">
        <v>2452</v>
      </c>
      <c r="C1320">
        <v>25759</v>
      </c>
    </row>
    <row r="1321" spans="1:4" x14ac:dyDescent="0.25">
      <c r="A1321" t="s">
        <v>2453</v>
      </c>
      <c r="B1321" t="s">
        <v>2452</v>
      </c>
      <c r="C1321">
        <v>24839</v>
      </c>
    </row>
    <row r="1322" spans="1:4" x14ac:dyDescent="0.25">
      <c r="A1322" t="s">
        <v>2454</v>
      </c>
      <c r="B1322" t="s">
        <v>2455</v>
      </c>
      <c r="C1322">
        <v>25657</v>
      </c>
    </row>
    <row r="1323" spans="1:4" x14ac:dyDescent="0.25">
      <c r="A1323" t="s">
        <v>2456</v>
      </c>
      <c r="B1323" t="s">
        <v>2455</v>
      </c>
      <c r="C1323">
        <v>24558</v>
      </c>
    </row>
    <row r="1324" spans="1:4" x14ac:dyDescent="0.25">
      <c r="A1324" t="s">
        <v>2457</v>
      </c>
      <c r="B1324" t="s">
        <v>2458</v>
      </c>
      <c r="C1324">
        <v>24051</v>
      </c>
      <c r="D1324" t="s">
        <v>491</v>
      </c>
    </row>
    <row r="1325" spans="1:4" x14ac:dyDescent="0.25">
      <c r="A1325" t="s">
        <v>2459</v>
      </c>
      <c r="B1325" t="s">
        <v>2460</v>
      </c>
      <c r="C1325">
        <v>47997</v>
      </c>
    </row>
    <row r="1326" spans="1:4" x14ac:dyDescent="0.25">
      <c r="A1326" t="s">
        <v>2461</v>
      </c>
      <c r="B1326" t="s">
        <v>2462</v>
      </c>
      <c r="C1326">
        <v>34032</v>
      </c>
      <c r="D1326" t="s">
        <v>252</v>
      </c>
    </row>
    <row r="1327" spans="1:4" x14ac:dyDescent="0.25">
      <c r="A1327" t="s">
        <v>2463</v>
      </c>
      <c r="B1327" t="s">
        <v>2464</v>
      </c>
      <c r="C1327">
        <v>25662</v>
      </c>
    </row>
    <row r="1328" spans="1:4" x14ac:dyDescent="0.25">
      <c r="A1328" t="s">
        <v>2465</v>
      </c>
      <c r="B1328" t="s">
        <v>2466</v>
      </c>
      <c r="C1328">
        <v>24584</v>
      </c>
    </row>
    <row r="1329" spans="1:3" x14ac:dyDescent="0.25">
      <c r="A1329" t="s">
        <v>2467</v>
      </c>
      <c r="B1329" t="s">
        <v>2468</v>
      </c>
      <c r="C1329">
        <v>24585</v>
      </c>
    </row>
    <row r="1330" spans="1:3" x14ac:dyDescent="0.25">
      <c r="A1330" t="s">
        <v>2469</v>
      </c>
      <c r="B1330" t="s">
        <v>2468</v>
      </c>
      <c r="C1330">
        <v>47998</v>
      </c>
    </row>
    <row r="1331" spans="1:3" x14ac:dyDescent="0.25">
      <c r="A1331" t="s">
        <v>2470</v>
      </c>
      <c r="B1331" t="s">
        <v>2471</v>
      </c>
      <c r="C1331">
        <v>25663</v>
      </c>
    </row>
    <row r="1332" spans="1:3" x14ac:dyDescent="0.25">
      <c r="A1332" t="s">
        <v>2472</v>
      </c>
      <c r="B1332" t="s">
        <v>2471</v>
      </c>
      <c r="C1332">
        <v>24586</v>
      </c>
    </row>
    <row r="1333" spans="1:3" x14ac:dyDescent="0.25">
      <c r="A1333" t="s">
        <v>2473</v>
      </c>
      <c r="B1333" t="s">
        <v>2474</v>
      </c>
      <c r="C1333">
        <v>24587</v>
      </c>
    </row>
    <row r="1334" spans="1:3" x14ac:dyDescent="0.25">
      <c r="A1334" t="s">
        <v>2475</v>
      </c>
      <c r="B1334" t="s">
        <v>2476</v>
      </c>
      <c r="C1334">
        <v>25664</v>
      </c>
    </row>
    <row r="1335" spans="1:3" x14ac:dyDescent="0.25">
      <c r="A1335" t="s">
        <v>2477</v>
      </c>
      <c r="B1335" t="s">
        <v>2476</v>
      </c>
      <c r="C1335">
        <v>24588</v>
      </c>
    </row>
    <row r="1336" spans="1:3" x14ac:dyDescent="0.25">
      <c r="A1336" t="s">
        <v>2478</v>
      </c>
      <c r="B1336" t="s">
        <v>2479</v>
      </c>
      <c r="C1336">
        <v>25665</v>
      </c>
    </row>
    <row r="1337" spans="1:3" x14ac:dyDescent="0.25">
      <c r="A1337" t="s">
        <v>2480</v>
      </c>
      <c r="B1337" t="s">
        <v>2479</v>
      </c>
      <c r="C1337">
        <v>24589</v>
      </c>
    </row>
    <row r="1338" spans="1:3" x14ac:dyDescent="0.25">
      <c r="A1338" t="s">
        <v>2481</v>
      </c>
      <c r="B1338" t="s">
        <v>2482</v>
      </c>
      <c r="C1338">
        <v>24220</v>
      </c>
    </row>
    <row r="1339" spans="1:3" x14ac:dyDescent="0.25">
      <c r="A1339" t="s">
        <v>2483</v>
      </c>
      <c r="B1339" t="s">
        <v>2484</v>
      </c>
      <c r="C1339">
        <v>24736</v>
      </c>
    </row>
    <row r="1340" spans="1:3" x14ac:dyDescent="0.25">
      <c r="A1340" t="s">
        <v>2485</v>
      </c>
      <c r="C1340">
        <v>25184</v>
      </c>
    </row>
    <row r="1341" spans="1:3" x14ac:dyDescent="0.25">
      <c r="A1341" t="s">
        <v>2486</v>
      </c>
      <c r="C1341">
        <v>25185</v>
      </c>
    </row>
    <row r="1342" spans="1:3" x14ac:dyDescent="0.25">
      <c r="A1342" t="s">
        <v>2487</v>
      </c>
      <c r="C1342">
        <v>25491</v>
      </c>
    </row>
    <row r="1343" spans="1:3" x14ac:dyDescent="0.25">
      <c r="A1343" t="s">
        <v>2488</v>
      </c>
      <c r="C1343">
        <v>25186</v>
      </c>
    </row>
    <row r="1344" spans="1:3" x14ac:dyDescent="0.25">
      <c r="A1344" t="s">
        <v>2489</v>
      </c>
      <c r="C1344">
        <v>25187</v>
      </c>
    </row>
    <row r="1345" spans="1:4" x14ac:dyDescent="0.25">
      <c r="A1345" t="s">
        <v>2490</v>
      </c>
      <c r="B1345" t="s">
        <v>2491</v>
      </c>
      <c r="C1345">
        <v>24598</v>
      </c>
    </row>
    <row r="1346" spans="1:4" x14ac:dyDescent="0.25">
      <c r="A1346" t="s">
        <v>2492</v>
      </c>
      <c r="B1346" t="s">
        <v>2493</v>
      </c>
      <c r="C1346">
        <v>25492</v>
      </c>
      <c r="D1346" t="s">
        <v>408</v>
      </c>
    </row>
    <row r="1347" spans="1:4" x14ac:dyDescent="0.25">
      <c r="A1347" t="s">
        <v>2494</v>
      </c>
      <c r="B1347" t="s">
        <v>2493</v>
      </c>
      <c r="C1347">
        <v>30957</v>
      </c>
      <c r="D1347" t="s">
        <v>408</v>
      </c>
    </row>
    <row r="1348" spans="1:4" x14ac:dyDescent="0.25">
      <c r="A1348" t="s">
        <v>2495</v>
      </c>
      <c r="B1348" t="s">
        <v>2496</v>
      </c>
      <c r="C1348">
        <v>24222</v>
      </c>
      <c r="D1348" t="s">
        <v>278</v>
      </c>
    </row>
    <row r="1349" spans="1:4" x14ac:dyDescent="0.25">
      <c r="A1349" t="s">
        <v>2497</v>
      </c>
      <c r="B1349" t="s">
        <v>2498</v>
      </c>
      <c r="C1349">
        <v>24076</v>
      </c>
    </row>
    <row r="1350" spans="1:4" x14ac:dyDescent="0.25">
      <c r="A1350" t="s">
        <v>2499</v>
      </c>
      <c r="B1350" t="s">
        <v>2500</v>
      </c>
      <c r="C1350">
        <v>24077</v>
      </c>
    </row>
    <row r="1351" spans="1:4" x14ac:dyDescent="0.25">
      <c r="A1351" t="s">
        <v>2501</v>
      </c>
      <c r="B1351" t="s">
        <v>2502</v>
      </c>
      <c r="C1351">
        <v>24078</v>
      </c>
    </row>
    <row r="1352" spans="1:4" x14ac:dyDescent="0.25">
      <c r="A1352" t="s">
        <v>2503</v>
      </c>
      <c r="B1352" t="s">
        <v>2504</v>
      </c>
      <c r="C1352">
        <v>24079</v>
      </c>
    </row>
    <row r="1353" spans="1:4" x14ac:dyDescent="0.25">
      <c r="A1353" t="s">
        <v>2505</v>
      </c>
      <c r="B1353" t="s">
        <v>2506</v>
      </c>
      <c r="C1353">
        <v>24080</v>
      </c>
    </row>
    <row r="1354" spans="1:4" x14ac:dyDescent="0.25">
      <c r="A1354" t="s">
        <v>2507</v>
      </c>
      <c r="B1354" t="s">
        <v>2508</v>
      </c>
      <c r="C1354">
        <v>24081</v>
      </c>
    </row>
    <row r="1355" spans="1:4" x14ac:dyDescent="0.25">
      <c r="A1355" t="s">
        <v>2509</v>
      </c>
      <c r="B1355" t="s">
        <v>2510</v>
      </c>
      <c r="C1355">
        <v>25419</v>
      </c>
    </row>
    <row r="1356" spans="1:4" x14ac:dyDescent="0.25">
      <c r="A1356" t="s">
        <v>2511</v>
      </c>
      <c r="B1356" t="s">
        <v>2512</v>
      </c>
      <c r="C1356">
        <v>25693</v>
      </c>
    </row>
    <row r="1357" spans="1:4" x14ac:dyDescent="0.25">
      <c r="A1357" t="s">
        <v>2513</v>
      </c>
      <c r="B1357" t="s">
        <v>2512</v>
      </c>
      <c r="C1357">
        <v>24654</v>
      </c>
    </row>
    <row r="1358" spans="1:4" x14ac:dyDescent="0.25">
      <c r="A1358" t="s">
        <v>2514</v>
      </c>
      <c r="B1358" t="s">
        <v>2512</v>
      </c>
      <c r="C1358">
        <v>24655</v>
      </c>
    </row>
    <row r="1359" spans="1:4" x14ac:dyDescent="0.25">
      <c r="A1359" t="s">
        <v>2515</v>
      </c>
      <c r="B1359" t="s">
        <v>2516</v>
      </c>
      <c r="C1359">
        <v>25694</v>
      </c>
    </row>
    <row r="1360" spans="1:4" x14ac:dyDescent="0.25">
      <c r="A1360" t="s">
        <v>2517</v>
      </c>
      <c r="B1360" t="s">
        <v>2516</v>
      </c>
      <c r="C1360">
        <v>24656</v>
      </c>
    </row>
    <row r="1361" spans="1:4" x14ac:dyDescent="0.25">
      <c r="A1361" t="s">
        <v>2518</v>
      </c>
      <c r="B1361" t="s">
        <v>2519</v>
      </c>
      <c r="C1361">
        <v>24657</v>
      </c>
    </row>
    <row r="1362" spans="1:4" x14ac:dyDescent="0.25">
      <c r="A1362" t="s">
        <v>2520</v>
      </c>
      <c r="B1362" t="s">
        <v>2521</v>
      </c>
      <c r="C1362">
        <v>25542</v>
      </c>
    </row>
    <row r="1363" spans="1:4" x14ac:dyDescent="0.25">
      <c r="A1363" t="s">
        <v>2522</v>
      </c>
      <c r="B1363" t="s">
        <v>2521</v>
      </c>
      <c r="C1363">
        <v>24298</v>
      </c>
    </row>
    <row r="1364" spans="1:4" x14ac:dyDescent="0.25">
      <c r="A1364" t="s">
        <v>2523</v>
      </c>
      <c r="B1364" t="s">
        <v>2524</v>
      </c>
      <c r="C1364">
        <v>43345</v>
      </c>
      <c r="D1364" t="s">
        <v>211</v>
      </c>
    </row>
    <row r="1365" spans="1:4" x14ac:dyDescent="0.25">
      <c r="A1365" t="s">
        <v>2525</v>
      </c>
      <c r="B1365" t="s">
        <v>2526</v>
      </c>
      <c r="C1365">
        <v>34025</v>
      </c>
      <c r="D1365" t="s">
        <v>211</v>
      </c>
    </row>
    <row r="1366" spans="1:4" x14ac:dyDescent="0.25">
      <c r="A1366" t="s">
        <v>2527</v>
      </c>
      <c r="B1366" t="s">
        <v>2528</v>
      </c>
      <c r="C1366">
        <v>25493</v>
      </c>
    </row>
    <row r="1367" spans="1:4" x14ac:dyDescent="0.25">
      <c r="A1367" t="s">
        <v>2529</v>
      </c>
      <c r="B1367" t="s">
        <v>2530</v>
      </c>
      <c r="C1367">
        <v>24190</v>
      </c>
    </row>
    <row r="1368" spans="1:4" x14ac:dyDescent="0.25">
      <c r="A1368" t="s">
        <v>2531</v>
      </c>
      <c r="B1368" t="s">
        <v>2532</v>
      </c>
      <c r="C1368">
        <v>25545</v>
      </c>
    </row>
    <row r="1369" spans="1:4" x14ac:dyDescent="0.25">
      <c r="A1369" t="s">
        <v>2533</v>
      </c>
      <c r="B1369" t="s">
        <v>2532</v>
      </c>
      <c r="C1369">
        <v>24302</v>
      </c>
    </row>
    <row r="1370" spans="1:4" x14ac:dyDescent="0.25">
      <c r="A1370" t="s">
        <v>2534</v>
      </c>
      <c r="B1370" t="s">
        <v>2535</v>
      </c>
      <c r="C1370">
        <v>24213</v>
      </c>
    </row>
    <row r="1371" spans="1:4" x14ac:dyDescent="0.25">
      <c r="A1371" t="s">
        <v>2536</v>
      </c>
      <c r="B1371" t="s">
        <v>2537</v>
      </c>
      <c r="C1371">
        <v>24904</v>
      </c>
    </row>
    <row r="1372" spans="1:4" x14ac:dyDescent="0.25">
      <c r="A1372" t="s">
        <v>2538</v>
      </c>
      <c r="B1372" t="s">
        <v>2539</v>
      </c>
      <c r="C1372">
        <v>30861</v>
      </c>
    </row>
    <row r="1373" spans="1:4" x14ac:dyDescent="0.25">
      <c r="A1373" t="s">
        <v>2540</v>
      </c>
      <c r="B1373" t="s">
        <v>2541</v>
      </c>
      <c r="C1373">
        <v>24444</v>
      </c>
    </row>
    <row r="1374" spans="1:4" x14ac:dyDescent="0.25">
      <c r="A1374" t="s">
        <v>2542</v>
      </c>
      <c r="B1374" t="s">
        <v>2543</v>
      </c>
      <c r="C1374">
        <v>48002</v>
      </c>
    </row>
    <row r="1375" spans="1:4" x14ac:dyDescent="0.25">
      <c r="A1375" t="s">
        <v>2544</v>
      </c>
      <c r="B1375" t="s">
        <v>2545</v>
      </c>
      <c r="C1375">
        <v>25237</v>
      </c>
      <c r="D1375" t="s">
        <v>491</v>
      </c>
    </row>
    <row r="1376" spans="1:4" x14ac:dyDescent="0.25">
      <c r="A1376" t="s">
        <v>2546</v>
      </c>
      <c r="B1376" t="s">
        <v>2547</v>
      </c>
      <c r="C1376">
        <v>25494</v>
      </c>
    </row>
    <row r="1377" spans="1:4" x14ac:dyDescent="0.25">
      <c r="A1377" t="s">
        <v>2548</v>
      </c>
      <c r="B1377" t="s">
        <v>2547</v>
      </c>
      <c r="C1377">
        <v>25240</v>
      </c>
    </row>
    <row r="1378" spans="1:4" x14ac:dyDescent="0.25">
      <c r="A1378" t="s">
        <v>2549</v>
      </c>
      <c r="B1378" t="s">
        <v>2547</v>
      </c>
      <c r="C1378">
        <v>25322</v>
      </c>
    </row>
    <row r="1379" spans="1:4" x14ac:dyDescent="0.25">
      <c r="A1379" t="s">
        <v>2550</v>
      </c>
      <c r="C1379">
        <v>25188</v>
      </c>
    </row>
    <row r="1380" spans="1:4" x14ac:dyDescent="0.25">
      <c r="A1380" t="s">
        <v>2551</v>
      </c>
      <c r="C1380">
        <v>25189</v>
      </c>
    </row>
    <row r="1381" spans="1:4" x14ac:dyDescent="0.25">
      <c r="A1381" t="s">
        <v>2552</v>
      </c>
      <c r="C1381">
        <v>25190</v>
      </c>
    </row>
    <row r="1382" spans="1:4" x14ac:dyDescent="0.25">
      <c r="A1382" t="s">
        <v>2553</v>
      </c>
      <c r="C1382">
        <v>25191</v>
      </c>
    </row>
    <row r="1383" spans="1:4" x14ac:dyDescent="0.25">
      <c r="A1383" t="s">
        <v>2554</v>
      </c>
      <c r="C1383">
        <v>25192</v>
      </c>
    </row>
    <row r="1384" spans="1:4" x14ac:dyDescent="0.25">
      <c r="A1384" t="s">
        <v>2555</v>
      </c>
      <c r="C1384">
        <v>25495</v>
      </c>
    </row>
    <row r="1385" spans="1:4" x14ac:dyDescent="0.25">
      <c r="A1385" t="s">
        <v>2556</v>
      </c>
      <c r="C1385">
        <v>25193</v>
      </c>
    </row>
    <row r="1386" spans="1:4" x14ac:dyDescent="0.25">
      <c r="A1386" t="s">
        <v>2557</v>
      </c>
      <c r="C1386">
        <v>25194</v>
      </c>
    </row>
    <row r="1387" spans="1:4" x14ac:dyDescent="0.25">
      <c r="A1387" t="s">
        <v>2558</v>
      </c>
      <c r="C1387">
        <v>25195</v>
      </c>
    </row>
    <row r="1388" spans="1:4" x14ac:dyDescent="0.25">
      <c r="A1388" t="s">
        <v>2559</v>
      </c>
      <c r="B1388" t="s">
        <v>2560</v>
      </c>
      <c r="C1388">
        <v>48003</v>
      </c>
      <c r="D1388" t="s">
        <v>319</v>
      </c>
    </row>
    <row r="1389" spans="1:4" x14ac:dyDescent="0.25">
      <c r="A1389" t="s">
        <v>2561</v>
      </c>
      <c r="B1389" t="s">
        <v>2562</v>
      </c>
      <c r="C1389">
        <v>48004</v>
      </c>
    </row>
    <row r="1390" spans="1:4" x14ac:dyDescent="0.25">
      <c r="A1390" t="s">
        <v>2563</v>
      </c>
      <c r="B1390" t="s">
        <v>2564</v>
      </c>
      <c r="C1390">
        <v>48005</v>
      </c>
    </row>
    <row r="1391" spans="1:4" x14ac:dyDescent="0.25">
      <c r="A1391" t="s">
        <v>2565</v>
      </c>
      <c r="B1391" t="s">
        <v>2566</v>
      </c>
      <c r="C1391">
        <v>24183</v>
      </c>
    </row>
    <row r="1392" spans="1:4" x14ac:dyDescent="0.25">
      <c r="A1392" t="s">
        <v>2567</v>
      </c>
      <c r="B1392" t="s">
        <v>2568</v>
      </c>
      <c r="C1392">
        <v>48006</v>
      </c>
    </row>
    <row r="1393" spans="1:4" x14ac:dyDescent="0.25">
      <c r="A1393" t="s">
        <v>2569</v>
      </c>
      <c r="B1393" t="s">
        <v>2570</v>
      </c>
      <c r="C1393">
        <v>48007</v>
      </c>
    </row>
    <row r="1394" spans="1:4" x14ac:dyDescent="0.25">
      <c r="A1394" t="s">
        <v>2571</v>
      </c>
      <c r="B1394" t="s">
        <v>2572</v>
      </c>
      <c r="C1394">
        <v>34150</v>
      </c>
    </row>
    <row r="1395" spans="1:4" x14ac:dyDescent="0.25">
      <c r="A1395" t="s">
        <v>2573</v>
      </c>
      <c r="B1395" t="s">
        <v>2574</v>
      </c>
      <c r="C1395">
        <v>48008</v>
      </c>
    </row>
    <row r="1396" spans="1:4" x14ac:dyDescent="0.25">
      <c r="A1396" t="s">
        <v>2575</v>
      </c>
      <c r="B1396" t="s">
        <v>2576</v>
      </c>
      <c r="C1396">
        <v>25671</v>
      </c>
    </row>
    <row r="1397" spans="1:4" x14ac:dyDescent="0.25">
      <c r="A1397" t="s">
        <v>2577</v>
      </c>
      <c r="B1397" t="s">
        <v>2576</v>
      </c>
      <c r="C1397">
        <v>24604</v>
      </c>
    </row>
    <row r="1398" spans="1:4" x14ac:dyDescent="0.25">
      <c r="A1398" t="s">
        <v>2578</v>
      </c>
      <c r="B1398" t="s">
        <v>2576</v>
      </c>
      <c r="C1398">
        <v>24601</v>
      </c>
    </row>
    <row r="1399" spans="1:4" x14ac:dyDescent="0.25">
      <c r="A1399" t="s">
        <v>2579</v>
      </c>
      <c r="B1399" t="s">
        <v>2580</v>
      </c>
      <c r="C1399">
        <v>30877</v>
      </c>
      <c r="D1399" t="s">
        <v>267</v>
      </c>
    </row>
    <row r="1400" spans="1:4" x14ac:dyDescent="0.25">
      <c r="A1400" t="s">
        <v>2581</v>
      </c>
      <c r="B1400" t="s">
        <v>2580</v>
      </c>
      <c r="C1400">
        <v>30878</v>
      </c>
      <c r="D1400" t="s">
        <v>267</v>
      </c>
    </row>
    <row r="1401" spans="1:4" x14ac:dyDescent="0.25">
      <c r="A1401" t="s">
        <v>2582</v>
      </c>
      <c r="B1401" t="s">
        <v>2583</v>
      </c>
      <c r="C1401">
        <v>25672</v>
      </c>
      <c r="D1401" t="s">
        <v>267</v>
      </c>
    </row>
    <row r="1402" spans="1:4" x14ac:dyDescent="0.25">
      <c r="A1402" t="s">
        <v>2584</v>
      </c>
      <c r="B1402" t="s">
        <v>2583</v>
      </c>
      <c r="C1402">
        <v>30876</v>
      </c>
      <c r="D1402" t="s">
        <v>267</v>
      </c>
    </row>
    <row r="1403" spans="1:4" x14ac:dyDescent="0.25">
      <c r="A1403" t="s">
        <v>2585</v>
      </c>
      <c r="B1403" t="s">
        <v>2583</v>
      </c>
      <c r="C1403">
        <v>48009</v>
      </c>
      <c r="D1403" t="s">
        <v>267</v>
      </c>
    </row>
    <row r="1404" spans="1:4" x14ac:dyDescent="0.25">
      <c r="A1404" t="s">
        <v>2586</v>
      </c>
      <c r="B1404" t="s">
        <v>2583</v>
      </c>
      <c r="C1404">
        <v>24602</v>
      </c>
      <c r="D1404" t="s">
        <v>267</v>
      </c>
    </row>
    <row r="1405" spans="1:4" x14ac:dyDescent="0.25">
      <c r="A1405" t="s">
        <v>2587</v>
      </c>
      <c r="B1405" t="s">
        <v>2583</v>
      </c>
      <c r="C1405">
        <v>24603</v>
      </c>
      <c r="D1405" t="s">
        <v>267</v>
      </c>
    </row>
    <row r="1406" spans="1:4" x14ac:dyDescent="0.25">
      <c r="A1406" t="s">
        <v>2588</v>
      </c>
      <c r="B1406" t="s">
        <v>2589</v>
      </c>
      <c r="C1406">
        <v>34083</v>
      </c>
      <c r="D1406" t="s">
        <v>281</v>
      </c>
    </row>
    <row r="1407" spans="1:4" x14ac:dyDescent="0.25">
      <c r="A1407" t="s">
        <v>2590</v>
      </c>
      <c r="B1407" t="s">
        <v>2591</v>
      </c>
      <c r="C1407">
        <v>24223</v>
      </c>
    </row>
    <row r="1408" spans="1:4" x14ac:dyDescent="0.25">
      <c r="A1408" t="s">
        <v>2592</v>
      </c>
      <c r="B1408" t="s">
        <v>2593</v>
      </c>
      <c r="C1408">
        <v>42462</v>
      </c>
    </row>
    <row r="1409" spans="1:3" x14ac:dyDescent="0.25">
      <c r="A1409" t="s">
        <v>2594</v>
      </c>
      <c r="B1409" t="s">
        <v>2595</v>
      </c>
      <c r="C1409">
        <v>48010</v>
      </c>
    </row>
    <row r="1410" spans="1:3" x14ac:dyDescent="0.25">
      <c r="A1410" t="s">
        <v>2596</v>
      </c>
      <c r="B1410" t="s">
        <v>2597</v>
      </c>
      <c r="C1410">
        <v>42463</v>
      </c>
    </row>
    <row r="1411" spans="1:3" x14ac:dyDescent="0.25">
      <c r="A1411" t="s">
        <v>2598</v>
      </c>
      <c r="B1411" t="s">
        <v>2597</v>
      </c>
      <c r="C1411">
        <v>42464</v>
      </c>
    </row>
    <row r="1412" spans="1:3" x14ac:dyDescent="0.25">
      <c r="A1412" t="s">
        <v>2599</v>
      </c>
      <c r="B1412" t="s">
        <v>2600</v>
      </c>
      <c r="C1412">
        <v>24042</v>
      </c>
    </row>
    <row r="1413" spans="1:3" x14ac:dyDescent="0.25">
      <c r="A1413" t="s">
        <v>2601</v>
      </c>
      <c r="B1413" t="s">
        <v>2602</v>
      </c>
      <c r="C1413">
        <v>25609</v>
      </c>
    </row>
    <row r="1414" spans="1:3" x14ac:dyDescent="0.25">
      <c r="A1414" t="s">
        <v>2603</v>
      </c>
      <c r="B1414" t="s">
        <v>2602</v>
      </c>
      <c r="C1414">
        <v>24445</v>
      </c>
    </row>
    <row r="1415" spans="1:3" x14ac:dyDescent="0.25">
      <c r="A1415" t="s">
        <v>2604</v>
      </c>
      <c r="B1415" t="s">
        <v>2605</v>
      </c>
      <c r="C1415">
        <v>24446</v>
      </c>
    </row>
    <row r="1416" spans="1:3" x14ac:dyDescent="0.25">
      <c r="A1416" t="s">
        <v>2606</v>
      </c>
      <c r="B1416" t="s">
        <v>2607</v>
      </c>
      <c r="C1416">
        <v>25610</v>
      </c>
    </row>
    <row r="1417" spans="1:3" x14ac:dyDescent="0.25">
      <c r="A1417" t="s">
        <v>2608</v>
      </c>
      <c r="B1417" t="s">
        <v>2607</v>
      </c>
      <c r="C1417">
        <v>24447</v>
      </c>
    </row>
    <row r="1418" spans="1:3" x14ac:dyDescent="0.25">
      <c r="A1418" t="s">
        <v>2609</v>
      </c>
      <c r="B1418" t="s">
        <v>2607</v>
      </c>
      <c r="C1418">
        <v>24448</v>
      </c>
    </row>
    <row r="1419" spans="1:3" x14ac:dyDescent="0.25">
      <c r="A1419" t="s">
        <v>2610</v>
      </c>
      <c r="B1419" t="s">
        <v>2611</v>
      </c>
      <c r="C1419">
        <v>25611</v>
      </c>
    </row>
    <row r="1420" spans="1:3" x14ac:dyDescent="0.25">
      <c r="A1420" t="s">
        <v>2612</v>
      </c>
      <c r="B1420" t="s">
        <v>2611</v>
      </c>
      <c r="C1420">
        <v>24449</v>
      </c>
    </row>
    <row r="1421" spans="1:3" x14ac:dyDescent="0.25">
      <c r="A1421" t="s">
        <v>2613</v>
      </c>
      <c r="B1421" t="s">
        <v>2614</v>
      </c>
      <c r="C1421">
        <v>25612</v>
      </c>
    </row>
    <row r="1422" spans="1:3" x14ac:dyDescent="0.25">
      <c r="A1422" t="s">
        <v>2615</v>
      </c>
      <c r="B1422" t="s">
        <v>2614</v>
      </c>
      <c r="C1422">
        <v>24450</v>
      </c>
    </row>
    <row r="1423" spans="1:3" x14ac:dyDescent="0.25">
      <c r="A1423" t="s">
        <v>2616</v>
      </c>
      <c r="B1423" t="s">
        <v>2617</v>
      </c>
      <c r="C1423">
        <v>25420</v>
      </c>
    </row>
    <row r="1424" spans="1:3" x14ac:dyDescent="0.25">
      <c r="A1424" t="s">
        <v>2618</v>
      </c>
      <c r="B1424" t="s">
        <v>2619</v>
      </c>
      <c r="C1424">
        <v>48011</v>
      </c>
    </row>
    <row r="1425" spans="1:4" x14ac:dyDescent="0.25">
      <c r="A1425" t="s">
        <v>2620</v>
      </c>
      <c r="B1425" t="s">
        <v>2621</v>
      </c>
      <c r="C1425">
        <v>24146</v>
      </c>
      <c r="D1425" t="s">
        <v>408</v>
      </c>
    </row>
    <row r="1426" spans="1:4" x14ac:dyDescent="0.25">
      <c r="A1426" t="s">
        <v>2622</v>
      </c>
      <c r="B1426" t="s">
        <v>2621</v>
      </c>
      <c r="C1426">
        <v>48012</v>
      </c>
      <c r="D1426" t="s">
        <v>408</v>
      </c>
    </row>
    <row r="1427" spans="1:4" x14ac:dyDescent="0.25">
      <c r="A1427" t="s">
        <v>2623</v>
      </c>
      <c r="B1427" t="s">
        <v>2624</v>
      </c>
      <c r="C1427">
        <v>48013</v>
      </c>
    </row>
    <row r="1428" spans="1:4" x14ac:dyDescent="0.25">
      <c r="A1428" t="s">
        <v>2625</v>
      </c>
      <c r="C1428">
        <v>25328</v>
      </c>
    </row>
    <row r="1429" spans="1:4" x14ac:dyDescent="0.25">
      <c r="A1429" t="s">
        <v>2626</v>
      </c>
      <c r="B1429" t="s">
        <v>2627</v>
      </c>
      <c r="C1429">
        <v>25666</v>
      </c>
    </row>
    <row r="1430" spans="1:4" x14ac:dyDescent="0.25">
      <c r="A1430" t="s">
        <v>2628</v>
      </c>
      <c r="B1430" t="s">
        <v>2627</v>
      </c>
      <c r="C1430">
        <v>24590</v>
      </c>
    </row>
    <row r="1431" spans="1:4" x14ac:dyDescent="0.25">
      <c r="A1431" t="s">
        <v>2629</v>
      </c>
      <c r="B1431" t="s">
        <v>2630</v>
      </c>
      <c r="C1431">
        <v>48014</v>
      </c>
    </row>
    <row r="1432" spans="1:4" x14ac:dyDescent="0.25">
      <c r="A1432" t="s">
        <v>2631</v>
      </c>
      <c r="B1432" t="s">
        <v>2630</v>
      </c>
      <c r="C1432">
        <v>48015</v>
      </c>
    </row>
    <row r="1433" spans="1:4" x14ac:dyDescent="0.25">
      <c r="A1433" t="s">
        <v>2632</v>
      </c>
      <c r="B1433" t="s">
        <v>2633</v>
      </c>
      <c r="C1433">
        <v>34033</v>
      </c>
      <c r="D1433" t="s">
        <v>211</v>
      </c>
    </row>
    <row r="1434" spans="1:4" x14ac:dyDescent="0.25">
      <c r="A1434" t="s">
        <v>2634</v>
      </c>
      <c r="B1434" t="s">
        <v>2635</v>
      </c>
      <c r="C1434">
        <v>44614</v>
      </c>
      <c r="D1434" t="s">
        <v>408</v>
      </c>
    </row>
    <row r="1435" spans="1:4" x14ac:dyDescent="0.25">
      <c r="A1435" t="s">
        <v>2636</v>
      </c>
      <c r="B1435" t="s">
        <v>2589</v>
      </c>
      <c r="C1435">
        <v>48939</v>
      </c>
      <c r="D1435" t="s">
        <v>211</v>
      </c>
    </row>
    <row r="1436" spans="1:4" x14ac:dyDescent="0.25">
      <c r="A1436" t="s">
        <v>2637</v>
      </c>
      <c r="B1436" t="s">
        <v>2638</v>
      </c>
      <c r="C1436">
        <v>25344</v>
      </c>
      <c r="D1436" t="s">
        <v>211</v>
      </c>
    </row>
    <row r="1437" spans="1:4" x14ac:dyDescent="0.25">
      <c r="A1437" t="s">
        <v>2639</v>
      </c>
      <c r="B1437" t="s">
        <v>2640</v>
      </c>
      <c r="C1437">
        <v>33952</v>
      </c>
      <c r="D1437" t="s">
        <v>252</v>
      </c>
    </row>
    <row r="1438" spans="1:4" x14ac:dyDescent="0.25">
      <c r="A1438" t="s">
        <v>2641</v>
      </c>
      <c r="B1438" t="s">
        <v>2642</v>
      </c>
      <c r="C1438">
        <v>33953</v>
      </c>
      <c r="D1438" t="s">
        <v>211</v>
      </c>
    </row>
    <row r="1439" spans="1:4" x14ac:dyDescent="0.25">
      <c r="A1439" t="s">
        <v>2643</v>
      </c>
      <c r="B1439" t="s">
        <v>2642</v>
      </c>
      <c r="C1439">
        <v>33955</v>
      </c>
      <c r="D1439" t="s">
        <v>211</v>
      </c>
    </row>
    <row r="1440" spans="1:4" x14ac:dyDescent="0.25">
      <c r="A1440" t="s">
        <v>2644</v>
      </c>
      <c r="B1440" t="s">
        <v>2642</v>
      </c>
      <c r="C1440">
        <v>33954</v>
      </c>
      <c r="D1440" t="s">
        <v>211</v>
      </c>
    </row>
    <row r="1441" spans="1:4" x14ac:dyDescent="0.25">
      <c r="A1441" t="s">
        <v>2645</v>
      </c>
      <c r="B1441" t="s">
        <v>2642</v>
      </c>
      <c r="C1441">
        <v>33956</v>
      </c>
      <c r="D1441" t="s">
        <v>211</v>
      </c>
    </row>
    <row r="1442" spans="1:4" x14ac:dyDescent="0.25">
      <c r="A1442" t="s">
        <v>2646</v>
      </c>
      <c r="B1442" t="s">
        <v>2642</v>
      </c>
      <c r="C1442">
        <v>33957</v>
      </c>
      <c r="D1442" t="s">
        <v>211</v>
      </c>
    </row>
    <row r="1443" spans="1:4" x14ac:dyDescent="0.25">
      <c r="A1443" t="s">
        <v>2647</v>
      </c>
      <c r="B1443" t="s">
        <v>2642</v>
      </c>
      <c r="C1443">
        <v>33958</v>
      </c>
      <c r="D1443" t="s">
        <v>211</v>
      </c>
    </row>
    <row r="1444" spans="1:4" x14ac:dyDescent="0.25">
      <c r="A1444" t="s">
        <v>2648</v>
      </c>
      <c r="B1444" t="s">
        <v>2642</v>
      </c>
      <c r="C1444">
        <v>33959</v>
      </c>
      <c r="D1444" t="s">
        <v>211</v>
      </c>
    </row>
    <row r="1445" spans="1:4" x14ac:dyDescent="0.25">
      <c r="A1445" t="s">
        <v>2649</v>
      </c>
      <c r="B1445" t="s">
        <v>2650</v>
      </c>
      <c r="C1445">
        <v>25248</v>
      </c>
    </row>
    <row r="1446" spans="1:4" x14ac:dyDescent="0.25">
      <c r="A1446" t="s">
        <v>2651</v>
      </c>
      <c r="B1446" t="s">
        <v>2652</v>
      </c>
      <c r="C1446">
        <v>25249</v>
      </c>
      <c r="D1446" t="s">
        <v>231</v>
      </c>
    </row>
    <row r="1447" spans="1:4" x14ac:dyDescent="0.25">
      <c r="A1447" t="s">
        <v>2653</v>
      </c>
      <c r="B1447" t="s">
        <v>2654</v>
      </c>
      <c r="C1447">
        <v>25421</v>
      </c>
    </row>
    <row r="1448" spans="1:4" x14ac:dyDescent="0.25">
      <c r="A1448" t="s">
        <v>2655</v>
      </c>
      <c r="B1448" t="s">
        <v>2656</v>
      </c>
      <c r="C1448">
        <v>25422</v>
      </c>
    </row>
    <row r="1449" spans="1:4" x14ac:dyDescent="0.25">
      <c r="A1449" t="s">
        <v>2657</v>
      </c>
      <c r="B1449" t="s">
        <v>2658</v>
      </c>
      <c r="C1449">
        <v>25424</v>
      </c>
    </row>
    <row r="1450" spans="1:4" x14ac:dyDescent="0.25">
      <c r="A1450" t="s">
        <v>2659</v>
      </c>
      <c r="B1450" t="s">
        <v>2660</v>
      </c>
      <c r="C1450">
        <v>25425</v>
      </c>
    </row>
    <row r="1451" spans="1:4" x14ac:dyDescent="0.25">
      <c r="A1451" t="s">
        <v>2661</v>
      </c>
      <c r="B1451" t="s">
        <v>2662</v>
      </c>
      <c r="C1451">
        <v>25426</v>
      </c>
    </row>
    <row r="1452" spans="1:4" x14ac:dyDescent="0.25">
      <c r="A1452" t="s">
        <v>2663</v>
      </c>
      <c r="B1452" t="s">
        <v>2664</v>
      </c>
      <c r="C1452">
        <v>42303</v>
      </c>
    </row>
    <row r="1453" spans="1:4" x14ac:dyDescent="0.25">
      <c r="A1453" t="s">
        <v>2665</v>
      </c>
      <c r="B1453" t="s">
        <v>2666</v>
      </c>
      <c r="C1453">
        <v>25427</v>
      </c>
    </row>
    <row r="1454" spans="1:4" x14ac:dyDescent="0.25">
      <c r="A1454" t="s">
        <v>2667</v>
      </c>
      <c r="B1454" t="s">
        <v>2668</v>
      </c>
      <c r="C1454">
        <v>25428</v>
      </c>
    </row>
    <row r="1455" spans="1:4" x14ac:dyDescent="0.25">
      <c r="A1455" t="s">
        <v>2669</v>
      </c>
      <c r="B1455" t="s">
        <v>2670</v>
      </c>
      <c r="C1455">
        <v>25684</v>
      </c>
    </row>
    <row r="1456" spans="1:4" x14ac:dyDescent="0.25">
      <c r="A1456" t="s">
        <v>2671</v>
      </c>
      <c r="B1456" t="s">
        <v>2670</v>
      </c>
      <c r="C1456">
        <v>24638</v>
      </c>
    </row>
    <row r="1457" spans="1:4" x14ac:dyDescent="0.25">
      <c r="A1457" t="s">
        <v>2672</v>
      </c>
      <c r="B1457" t="s">
        <v>2673</v>
      </c>
      <c r="C1457">
        <v>25685</v>
      </c>
    </row>
    <row r="1458" spans="1:4" x14ac:dyDescent="0.25">
      <c r="A1458" t="s">
        <v>2674</v>
      </c>
      <c r="B1458" t="s">
        <v>2673</v>
      </c>
      <c r="C1458">
        <v>24639</v>
      </c>
    </row>
    <row r="1459" spans="1:4" x14ac:dyDescent="0.25">
      <c r="A1459" t="s">
        <v>2675</v>
      </c>
      <c r="B1459" t="s">
        <v>2676</v>
      </c>
      <c r="C1459">
        <v>25686</v>
      </c>
    </row>
    <row r="1460" spans="1:4" x14ac:dyDescent="0.25">
      <c r="A1460" t="s">
        <v>2677</v>
      </c>
      <c r="B1460" t="s">
        <v>2676</v>
      </c>
      <c r="C1460">
        <v>24640</v>
      </c>
    </row>
    <row r="1461" spans="1:4" x14ac:dyDescent="0.25">
      <c r="A1461" t="s">
        <v>2678</v>
      </c>
      <c r="B1461" t="s">
        <v>2143</v>
      </c>
      <c r="C1461">
        <v>33984</v>
      </c>
      <c r="D1461" t="s">
        <v>408</v>
      </c>
    </row>
    <row r="1462" spans="1:4" x14ac:dyDescent="0.25">
      <c r="A1462" t="s">
        <v>2679</v>
      </c>
      <c r="B1462" t="s">
        <v>2680</v>
      </c>
      <c r="C1462">
        <v>24737</v>
      </c>
    </row>
    <row r="1463" spans="1:4" x14ac:dyDescent="0.25">
      <c r="A1463" t="s">
        <v>2681</v>
      </c>
      <c r="B1463" t="s">
        <v>2682</v>
      </c>
      <c r="C1463">
        <v>24738</v>
      </c>
    </row>
    <row r="1464" spans="1:4" x14ac:dyDescent="0.25">
      <c r="A1464" t="s">
        <v>2683</v>
      </c>
      <c r="B1464" t="s">
        <v>2684</v>
      </c>
      <c r="C1464">
        <v>24739</v>
      </c>
    </row>
    <row r="1465" spans="1:4" x14ac:dyDescent="0.25">
      <c r="A1465" t="s">
        <v>2685</v>
      </c>
      <c r="B1465" t="s">
        <v>2686</v>
      </c>
      <c r="C1465">
        <v>24740</v>
      </c>
    </row>
    <row r="1466" spans="1:4" x14ac:dyDescent="0.25">
      <c r="A1466" t="s">
        <v>2687</v>
      </c>
      <c r="B1466" t="s">
        <v>2688</v>
      </c>
      <c r="C1466">
        <v>24210</v>
      </c>
      <c r="D1466" t="s">
        <v>211</v>
      </c>
    </row>
    <row r="1467" spans="1:4" x14ac:dyDescent="0.25">
      <c r="A1467" t="s">
        <v>2689</v>
      </c>
      <c r="C1467">
        <v>30816</v>
      </c>
    </row>
    <row r="1468" spans="1:4" x14ac:dyDescent="0.25">
      <c r="A1468" t="s">
        <v>2690</v>
      </c>
      <c r="B1468" t="s">
        <v>2691</v>
      </c>
      <c r="C1468">
        <v>34124</v>
      </c>
    </row>
    <row r="1469" spans="1:4" x14ac:dyDescent="0.25">
      <c r="A1469" t="s">
        <v>2692</v>
      </c>
      <c r="C1469">
        <v>24966</v>
      </c>
    </row>
    <row r="1470" spans="1:4" x14ac:dyDescent="0.25">
      <c r="A1470" t="s">
        <v>2693</v>
      </c>
      <c r="C1470">
        <v>25497</v>
      </c>
    </row>
    <row r="1471" spans="1:4" x14ac:dyDescent="0.25">
      <c r="A1471" t="s">
        <v>2694</v>
      </c>
      <c r="C1471">
        <v>24967</v>
      </c>
    </row>
    <row r="1472" spans="1:4" x14ac:dyDescent="0.25">
      <c r="A1472" t="s">
        <v>2695</v>
      </c>
      <c r="C1472">
        <v>24968</v>
      </c>
    </row>
    <row r="1473" spans="1:4" x14ac:dyDescent="0.25">
      <c r="A1473" t="s">
        <v>2696</v>
      </c>
      <c r="C1473">
        <v>24969</v>
      </c>
    </row>
    <row r="1474" spans="1:4" x14ac:dyDescent="0.25">
      <c r="A1474" t="s">
        <v>2697</v>
      </c>
      <c r="C1474">
        <v>24964</v>
      </c>
    </row>
    <row r="1475" spans="1:4" x14ac:dyDescent="0.25">
      <c r="A1475" t="s">
        <v>2698</v>
      </c>
      <c r="C1475">
        <v>24970</v>
      </c>
    </row>
    <row r="1476" spans="1:4" x14ac:dyDescent="0.25">
      <c r="A1476" t="s">
        <v>2699</v>
      </c>
      <c r="C1476">
        <v>24971</v>
      </c>
    </row>
    <row r="1477" spans="1:4" x14ac:dyDescent="0.25">
      <c r="A1477" t="s">
        <v>2700</v>
      </c>
      <c r="C1477">
        <v>25498</v>
      </c>
    </row>
    <row r="1478" spans="1:4" x14ac:dyDescent="0.25">
      <c r="A1478" t="s">
        <v>2701</v>
      </c>
      <c r="C1478">
        <v>24972</v>
      </c>
    </row>
    <row r="1479" spans="1:4" x14ac:dyDescent="0.25">
      <c r="A1479" t="s">
        <v>2702</v>
      </c>
      <c r="C1479">
        <v>24973</v>
      </c>
    </row>
    <row r="1480" spans="1:4" x14ac:dyDescent="0.25">
      <c r="A1480" t="s">
        <v>2703</v>
      </c>
      <c r="B1480" t="s">
        <v>2704</v>
      </c>
      <c r="C1480">
        <v>24327</v>
      </c>
    </row>
    <row r="1481" spans="1:4" x14ac:dyDescent="0.25">
      <c r="A1481" t="s">
        <v>2705</v>
      </c>
      <c r="B1481" t="s">
        <v>2706</v>
      </c>
      <c r="C1481">
        <v>24094</v>
      </c>
    </row>
    <row r="1482" spans="1:4" x14ac:dyDescent="0.25">
      <c r="A1482" t="s">
        <v>2707</v>
      </c>
      <c r="B1482" t="s">
        <v>2708</v>
      </c>
      <c r="C1482">
        <v>24095</v>
      </c>
    </row>
    <row r="1483" spans="1:4" x14ac:dyDescent="0.25">
      <c r="A1483" t="s">
        <v>2709</v>
      </c>
      <c r="B1483" t="s">
        <v>2710</v>
      </c>
      <c r="C1483">
        <v>24096</v>
      </c>
    </row>
    <row r="1484" spans="1:4" x14ac:dyDescent="0.25">
      <c r="A1484" t="s">
        <v>2711</v>
      </c>
      <c r="B1484" t="s">
        <v>2712</v>
      </c>
      <c r="C1484">
        <v>39405</v>
      </c>
      <c r="D1484" t="s">
        <v>281</v>
      </c>
    </row>
    <row r="1485" spans="1:4" x14ac:dyDescent="0.25">
      <c r="A1485" t="s">
        <v>2713</v>
      </c>
      <c r="B1485" t="s">
        <v>2712</v>
      </c>
      <c r="C1485">
        <v>34085</v>
      </c>
      <c r="D1485" t="s">
        <v>281</v>
      </c>
    </row>
    <row r="1486" spans="1:4" x14ac:dyDescent="0.25">
      <c r="A1486" t="s">
        <v>2714</v>
      </c>
      <c r="B1486" t="s">
        <v>2712</v>
      </c>
      <c r="C1486">
        <v>34086</v>
      </c>
      <c r="D1486" t="s">
        <v>281</v>
      </c>
    </row>
    <row r="1487" spans="1:4" x14ac:dyDescent="0.25">
      <c r="A1487" t="s">
        <v>2715</v>
      </c>
      <c r="B1487" t="s">
        <v>2716</v>
      </c>
      <c r="C1487">
        <v>34087</v>
      </c>
      <c r="D1487" t="s">
        <v>281</v>
      </c>
    </row>
    <row r="1488" spans="1:4" x14ac:dyDescent="0.25">
      <c r="A1488" t="s">
        <v>2717</v>
      </c>
      <c r="B1488" t="s">
        <v>2712</v>
      </c>
      <c r="C1488">
        <v>34088</v>
      </c>
      <c r="D1488" t="s">
        <v>281</v>
      </c>
    </row>
    <row r="1489" spans="1:4" x14ac:dyDescent="0.25">
      <c r="A1489" t="s">
        <v>2718</v>
      </c>
      <c r="B1489" t="s">
        <v>2719</v>
      </c>
      <c r="C1489">
        <v>34089</v>
      </c>
      <c r="D1489" t="s">
        <v>281</v>
      </c>
    </row>
    <row r="1490" spans="1:4" x14ac:dyDescent="0.25">
      <c r="A1490" t="s">
        <v>2720</v>
      </c>
      <c r="B1490" t="s">
        <v>2721</v>
      </c>
      <c r="C1490">
        <v>34090</v>
      </c>
      <c r="D1490" t="s">
        <v>281</v>
      </c>
    </row>
    <row r="1491" spans="1:4" x14ac:dyDescent="0.25">
      <c r="A1491" t="s">
        <v>2722</v>
      </c>
      <c r="B1491" t="s">
        <v>2712</v>
      </c>
      <c r="C1491">
        <v>34091</v>
      </c>
      <c r="D1491" t="s">
        <v>281</v>
      </c>
    </row>
    <row r="1492" spans="1:4" x14ac:dyDescent="0.25">
      <c r="A1492" t="s">
        <v>2723</v>
      </c>
      <c r="B1492" t="s">
        <v>2724</v>
      </c>
      <c r="C1492">
        <v>48016</v>
      </c>
    </row>
    <row r="1493" spans="1:4" x14ac:dyDescent="0.25">
      <c r="A1493" t="s">
        <v>2725</v>
      </c>
      <c r="B1493" t="s">
        <v>2726</v>
      </c>
      <c r="C1493">
        <v>48017</v>
      </c>
    </row>
    <row r="1494" spans="1:4" x14ac:dyDescent="0.25">
      <c r="A1494" t="s">
        <v>2727</v>
      </c>
      <c r="B1494" t="s">
        <v>2728</v>
      </c>
      <c r="C1494">
        <v>25747</v>
      </c>
    </row>
    <row r="1495" spans="1:4" x14ac:dyDescent="0.25">
      <c r="A1495" t="s">
        <v>2729</v>
      </c>
      <c r="B1495" t="s">
        <v>2730</v>
      </c>
      <c r="C1495">
        <v>24819</v>
      </c>
      <c r="D1495" t="s">
        <v>231</v>
      </c>
    </row>
    <row r="1496" spans="1:4" x14ac:dyDescent="0.25">
      <c r="A1496" t="s">
        <v>2731</v>
      </c>
      <c r="B1496" t="s">
        <v>2732</v>
      </c>
      <c r="C1496">
        <v>48158</v>
      </c>
    </row>
    <row r="1497" spans="1:4" x14ac:dyDescent="0.25">
      <c r="A1497" t="s">
        <v>2733</v>
      </c>
      <c r="B1497" t="s">
        <v>2734</v>
      </c>
      <c r="C1497">
        <v>25749</v>
      </c>
    </row>
    <row r="1498" spans="1:4" x14ac:dyDescent="0.25">
      <c r="A1498" t="s">
        <v>2735</v>
      </c>
      <c r="B1498" t="s">
        <v>2734</v>
      </c>
      <c r="C1498">
        <v>24821</v>
      </c>
    </row>
    <row r="1499" spans="1:4" x14ac:dyDescent="0.25">
      <c r="A1499" t="s">
        <v>2736</v>
      </c>
      <c r="B1499" t="s">
        <v>2737</v>
      </c>
      <c r="C1499">
        <v>25750</v>
      </c>
    </row>
    <row r="1500" spans="1:4" x14ac:dyDescent="0.25">
      <c r="A1500" t="s">
        <v>2738</v>
      </c>
      <c r="B1500" t="s">
        <v>2739</v>
      </c>
      <c r="C1500">
        <v>33985</v>
      </c>
      <c r="D1500" t="s">
        <v>278</v>
      </c>
    </row>
    <row r="1501" spans="1:4" x14ac:dyDescent="0.25">
      <c r="A1501" t="s">
        <v>2740</v>
      </c>
      <c r="B1501" t="s">
        <v>2741</v>
      </c>
      <c r="C1501">
        <v>41344</v>
      </c>
    </row>
    <row r="1502" spans="1:4" x14ac:dyDescent="0.25">
      <c r="A1502" t="s">
        <v>2742</v>
      </c>
      <c r="B1502" t="s">
        <v>2743</v>
      </c>
      <c r="C1502">
        <v>48018</v>
      </c>
      <c r="D1502" t="s">
        <v>278</v>
      </c>
    </row>
    <row r="1503" spans="1:4" x14ac:dyDescent="0.25">
      <c r="A1503" t="s">
        <v>2744</v>
      </c>
      <c r="B1503" t="s">
        <v>2745</v>
      </c>
      <c r="C1503">
        <v>33986</v>
      </c>
      <c r="D1503" t="s">
        <v>252</v>
      </c>
    </row>
    <row r="1504" spans="1:4" x14ac:dyDescent="0.25">
      <c r="A1504" t="s">
        <v>2746</v>
      </c>
      <c r="B1504" t="s">
        <v>2747</v>
      </c>
      <c r="C1504">
        <v>25429</v>
      </c>
    </row>
    <row r="1505" spans="1:4" x14ac:dyDescent="0.25">
      <c r="A1505" t="s">
        <v>2748</v>
      </c>
      <c r="B1505" t="s">
        <v>2749</v>
      </c>
      <c r="C1505">
        <v>25430</v>
      </c>
    </row>
    <row r="1506" spans="1:4" x14ac:dyDescent="0.25">
      <c r="A1506" t="s">
        <v>2750</v>
      </c>
      <c r="B1506" t="s">
        <v>2751</v>
      </c>
      <c r="C1506">
        <v>25431</v>
      </c>
    </row>
    <row r="1507" spans="1:4" x14ac:dyDescent="0.25">
      <c r="A1507" t="s">
        <v>2752</v>
      </c>
      <c r="B1507" t="s">
        <v>2753</v>
      </c>
      <c r="C1507">
        <v>48023</v>
      </c>
      <c r="D1507" t="s">
        <v>278</v>
      </c>
    </row>
    <row r="1508" spans="1:4" x14ac:dyDescent="0.25">
      <c r="A1508" t="s">
        <v>2754</v>
      </c>
      <c r="B1508" t="s">
        <v>2753</v>
      </c>
      <c r="C1508">
        <v>48024</v>
      </c>
      <c r="D1508" t="s">
        <v>278</v>
      </c>
    </row>
    <row r="1509" spans="1:4" x14ac:dyDescent="0.25">
      <c r="A1509" t="s">
        <v>2755</v>
      </c>
      <c r="B1509" t="s">
        <v>2756</v>
      </c>
      <c r="C1509">
        <v>48022</v>
      </c>
      <c r="D1509" t="s">
        <v>278</v>
      </c>
    </row>
    <row r="1510" spans="1:4" x14ac:dyDescent="0.25">
      <c r="A1510" t="s">
        <v>2757</v>
      </c>
      <c r="B1510" t="s">
        <v>2758</v>
      </c>
      <c r="C1510">
        <v>25252</v>
      </c>
    </row>
    <row r="1511" spans="1:4" x14ac:dyDescent="0.25">
      <c r="A1511" t="s">
        <v>2759</v>
      </c>
      <c r="B1511" t="s">
        <v>2760</v>
      </c>
      <c r="C1511">
        <v>24224</v>
      </c>
    </row>
    <row r="1512" spans="1:4" x14ac:dyDescent="0.25">
      <c r="A1512" t="s">
        <v>2761</v>
      </c>
      <c r="B1512" t="s">
        <v>2760</v>
      </c>
      <c r="C1512">
        <v>48025</v>
      </c>
    </row>
    <row r="1513" spans="1:4" x14ac:dyDescent="0.25">
      <c r="A1513" t="s">
        <v>2762</v>
      </c>
      <c r="B1513" t="s">
        <v>2763</v>
      </c>
      <c r="C1513">
        <v>24225</v>
      </c>
      <c r="D1513" t="s">
        <v>654</v>
      </c>
    </row>
    <row r="1514" spans="1:4" x14ac:dyDescent="0.25">
      <c r="A1514" t="s">
        <v>2764</v>
      </c>
      <c r="B1514" t="s">
        <v>2765</v>
      </c>
      <c r="C1514">
        <v>24227</v>
      </c>
      <c r="D1514" t="s">
        <v>654</v>
      </c>
    </row>
    <row r="1515" spans="1:4" x14ac:dyDescent="0.25">
      <c r="A1515" t="s">
        <v>2766</v>
      </c>
      <c r="B1515" t="s">
        <v>2767</v>
      </c>
      <c r="C1515">
        <v>24228</v>
      </c>
      <c r="D1515" t="s">
        <v>654</v>
      </c>
    </row>
    <row r="1516" spans="1:4" x14ac:dyDescent="0.25">
      <c r="A1516" t="s">
        <v>2768</v>
      </c>
      <c r="B1516" t="s">
        <v>2769</v>
      </c>
      <c r="C1516">
        <v>24229</v>
      </c>
    </row>
    <row r="1517" spans="1:4" x14ac:dyDescent="0.25">
      <c r="A1517" t="s">
        <v>2770</v>
      </c>
      <c r="B1517" t="s">
        <v>2771</v>
      </c>
      <c r="C1517">
        <v>24147</v>
      </c>
      <c r="D1517" t="s">
        <v>278</v>
      </c>
    </row>
    <row r="1518" spans="1:4" x14ac:dyDescent="0.25">
      <c r="A1518" t="s">
        <v>2772</v>
      </c>
      <c r="B1518" t="s">
        <v>2773</v>
      </c>
      <c r="C1518">
        <v>48397</v>
      </c>
      <c r="D1518" t="s">
        <v>278</v>
      </c>
    </row>
    <row r="1519" spans="1:4" x14ac:dyDescent="0.25">
      <c r="A1519" t="s">
        <v>2774</v>
      </c>
      <c r="B1519" t="s">
        <v>2775</v>
      </c>
      <c r="C1519">
        <v>24148</v>
      </c>
      <c r="D1519" t="s">
        <v>278</v>
      </c>
    </row>
    <row r="1520" spans="1:4" x14ac:dyDescent="0.25">
      <c r="A1520" t="s">
        <v>2776</v>
      </c>
      <c r="B1520" t="s">
        <v>2777</v>
      </c>
      <c r="C1520">
        <v>25196</v>
      </c>
      <c r="D1520" t="s">
        <v>278</v>
      </c>
    </row>
    <row r="1521" spans="1:4" x14ac:dyDescent="0.25">
      <c r="A1521" t="s">
        <v>2778</v>
      </c>
      <c r="C1521">
        <v>25499</v>
      </c>
    </row>
    <row r="1522" spans="1:4" x14ac:dyDescent="0.25">
      <c r="A1522" t="s">
        <v>2779</v>
      </c>
      <c r="C1522">
        <v>25197</v>
      </c>
    </row>
    <row r="1523" spans="1:4" x14ac:dyDescent="0.25">
      <c r="A1523" t="s">
        <v>2780</v>
      </c>
      <c r="C1523">
        <v>25198</v>
      </c>
    </row>
    <row r="1524" spans="1:4" x14ac:dyDescent="0.25">
      <c r="A1524" t="s">
        <v>2781</v>
      </c>
      <c r="B1524" t="s">
        <v>2782</v>
      </c>
      <c r="C1524">
        <v>41422</v>
      </c>
    </row>
    <row r="1525" spans="1:4" x14ac:dyDescent="0.25">
      <c r="A1525" t="s">
        <v>2783</v>
      </c>
      <c r="B1525" t="s">
        <v>2782</v>
      </c>
      <c r="C1525">
        <v>41423</v>
      </c>
    </row>
    <row r="1526" spans="1:4" x14ac:dyDescent="0.25">
      <c r="A1526" t="s">
        <v>2784</v>
      </c>
      <c r="B1526" t="s">
        <v>2785</v>
      </c>
      <c r="C1526">
        <v>24798</v>
      </c>
      <c r="D1526" t="s">
        <v>281</v>
      </c>
    </row>
    <row r="1527" spans="1:4" x14ac:dyDescent="0.25">
      <c r="A1527" t="s">
        <v>2786</v>
      </c>
      <c r="B1527" t="s">
        <v>2787</v>
      </c>
      <c r="C1527">
        <v>24799</v>
      </c>
      <c r="D1527" t="s">
        <v>267</v>
      </c>
    </row>
    <row r="1528" spans="1:4" x14ac:dyDescent="0.25">
      <c r="A1528" t="s">
        <v>2788</v>
      </c>
      <c r="B1528" t="s">
        <v>2789</v>
      </c>
      <c r="C1528">
        <v>25742</v>
      </c>
      <c r="D1528" t="s">
        <v>267</v>
      </c>
    </row>
    <row r="1529" spans="1:4" x14ac:dyDescent="0.25">
      <c r="A1529" t="s">
        <v>2790</v>
      </c>
      <c r="B1529" t="s">
        <v>2789</v>
      </c>
      <c r="C1529">
        <v>24800</v>
      </c>
      <c r="D1529" t="s">
        <v>267</v>
      </c>
    </row>
    <row r="1530" spans="1:4" x14ac:dyDescent="0.25">
      <c r="A1530" t="s">
        <v>2791</v>
      </c>
      <c r="B1530" t="s">
        <v>2792</v>
      </c>
      <c r="C1530">
        <v>25564</v>
      </c>
    </row>
    <row r="1531" spans="1:4" x14ac:dyDescent="0.25">
      <c r="A1531" t="s">
        <v>2793</v>
      </c>
      <c r="B1531" t="s">
        <v>2792</v>
      </c>
      <c r="C1531">
        <v>48026</v>
      </c>
    </row>
    <row r="1532" spans="1:4" x14ac:dyDescent="0.25">
      <c r="A1532" t="s">
        <v>2794</v>
      </c>
      <c r="B1532" t="s">
        <v>2795</v>
      </c>
      <c r="C1532">
        <v>25565</v>
      </c>
    </row>
    <row r="1533" spans="1:4" x14ac:dyDescent="0.25">
      <c r="A1533" t="s">
        <v>2796</v>
      </c>
      <c r="B1533" t="s">
        <v>2795</v>
      </c>
      <c r="C1533">
        <v>24351</v>
      </c>
    </row>
    <row r="1534" spans="1:4" x14ac:dyDescent="0.25">
      <c r="A1534" t="s">
        <v>2797</v>
      </c>
      <c r="B1534" t="s">
        <v>2798</v>
      </c>
      <c r="C1534">
        <v>24192</v>
      </c>
    </row>
    <row r="1535" spans="1:4" x14ac:dyDescent="0.25">
      <c r="A1535" t="s">
        <v>2799</v>
      </c>
      <c r="B1535" t="s">
        <v>2800</v>
      </c>
      <c r="C1535">
        <v>25500</v>
      </c>
    </row>
    <row r="1536" spans="1:4" x14ac:dyDescent="0.25">
      <c r="A1536" t="s">
        <v>2801</v>
      </c>
      <c r="B1536" t="s">
        <v>2802</v>
      </c>
      <c r="C1536">
        <v>42365</v>
      </c>
    </row>
    <row r="1537" spans="1:4" x14ac:dyDescent="0.25">
      <c r="A1537" t="s">
        <v>2803</v>
      </c>
      <c r="B1537" t="s">
        <v>2804</v>
      </c>
      <c r="C1537">
        <v>24194</v>
      </c>
    </row>
    <row r="1538" spans="1:4" x14ac:dyDescent="0.25">
      <c r="A1538" t="s">
        <v>2805</v>
      </c>
      <c r="B1538" t="s">
        <v>2804</v>
      </c>
      <c r="C1538">
        <v>48027</v>
      </c>
    </row>
    <row r="1539" spans="1:4" x14ac:dyDescent="0.25">
      <c r="A1539" t="s">
        <v>2806</v>
      </c>
      <c r="B1539" t="s">
        <v>2807</v>
      </c>
      <c r="C1539">
        <v>24195</v>
      </c>
    </row>
    <row r="1540" spans="1:4" x14ac:dyDescent="0.25">
      <c r="A1540" t="s">
        <v>2808</v>
      </c>
      <c r="B1540" t="s">
        <v>2809</v>
      </c>
      <c r="C1540">
        <v>41424</v>
      </c>
    </row>
    <row r="1541" spans="1:4" x14ac:dyDescent="0.25">
      <c r="A1541" t="s">
        <v>2810</v>
      </c>
      <c r="B1541" t="s">
        <v>2811</v>
      </c>
      <c r="C1541">
        <v>43366</v>
      </c>
    </row>
    <row r="1542" spans="1:4" x14ac:dyDescent="0.25">
      <c r="A1542" t="s">
        <v>2812</v>
      </c>
      <c r="B1542" t="s">
        <v>2813</v>
      </c>
      <c r="C1542">
        <v>43367</v>
      </c>
      <c r="D1542" t="s">
        <v>231</v>
      </c>
    </row>
    <row r="1543" spans="1:4" x14ac:dyDescent="0.25">
      <c r="A1543" t="s">
        <v>2814</v>
      </c>
      <c r="B1543" t="s">
        <v>2815</v>
      </c>
      <c r="C1543">
        <v>24197</v>
      </c>
    </row>
    <row r="1544" spans="1:4" x14ac:dyDescent="0.25">
      <c r="A1544" t="s">
        <v>2816</v>
      </c>
      <c r="B1544" t="s">
        <v>2817</v>
      </c>
      <c r="C1544">
        <v>24742</v>
      </c>
    </row>
    <row r="1545" spans="1:4" x14ac:dyDescent="0.25">
      <c r="A1545" t="s">
        <v>2818</v>
      </c>
      <c r="B1545" t="s">
        <v>2819</v>
      </c>
      <c r="C1545">
        <v>34116</v>
      </c>
      <c r="D1545" t="s">
        <v>654</v>
      </c>
    </row>
    <row r="1546" spans="1:4" x14ac:dyDescent="0.25">
      <c r="A1546" t="s">
        <v>2820</v>
      </c>
      <c r="B1546" t="s">
        <v>2821</v>
      </c>
      <c r="C1546">
        <v>24497</v>
      </c>
      <c r="D1546" t="s">
        <v>267</v>
      </c>
    </row>
    <row r="1547" spans="1:4" x14ac:dyDescent="0.25">
      <c r="A1547" t="s">
        <v>2822</v>
      </c>
      <c r="B1547" t="s">
        <v>2823</v>
      </c>
      <c r="C1547">
        <v>30838</v>
      </c>
      <c r="D1547" t="s">
        <v>267</v>
      </c>
    </row>
    <row r="1548" spans="1:4" x14ac:dyDescent="0.25">
      <c r="A1548" t="s">
        <v>2824</v>
      </c>
      <c r="B1548" t="s">
        <v>2825</v>
      </c>
      <c r="C1548">
        <v>25632</v>
      </c>
    </row>
    <row r="1549" spans="1:4" x14ac:dyDescent="0.25">
      <c r="A1549" t="s">
        <v>2826</v>
      </c>
      <c r="B1549" t="s">
        <v>2825</v>
      </c>
      <c r="C1549">
        <v>24499</v>
      </c>
    </row>
    <row r="1550" spans="1:4" x14ac:dyDescent="0.25">
      <c r="A1550" t="s">
        <v>2827</v>
      </c>
      <c r="B1550" t="s">
        <v>2828</v>
      </c>
      <c r="C1550">
        <v>24501</v>
      </c>
    </row>
    <row r="1551" spans="1:4" x14ac:dyDescent="0.25">
      <c r="A1551" t="s">
        <v>2829</v>
      </c>
      <c r="B1551" t="s">
        <v>2830</v>
      </c>
      <c r="C1551">
        <v>24407</v>
      </c>
    </row>
    <row r="1552" spans="1:4" x14ac:dyDescent="0.25">
      <c r="A1552" t="s">
        <v>2831</v>
      </c>
      <c r="C1552">
        <v>24974</v>
      </c>
    </row>
    <row r="1553" spans="1:4" x14ac:dyDescent="0.25">
      <c r="A1553" t="s">
        <v>2832</v>
      </c>
      <c r="C1553">
        <v>24975</v>
      </c>
    </row>
    <row r="1554" spans="1:4" x14ac:dyDescent="0.25">
      <c r="A1554" t="s">
        <v>2833</v>
      </c>
      <c r="B1554" t="s">
        <v>2834</v>
      </c>
      <c r="C1554">
        <v>24976</v>
      </c>
    </row>
    <row r="1555" spans="1:4" x14ac:dyDescent="0.25">
      <c r="A1555" t="s">
        <v>2835</v>
      </c>
      <c r="B1555" t="s">
        <v>2836</v>
      </c>
      <c r="C1555">
        <v>48028</v>
      </c>
    </row>
    <row r="1556" spans="1:4" x14ac:dyDescent="0.25">
      <c r="A1556" t="s">
        <v>2837</v>
      </c>
      <c r="B1556" t="s">
        <v>2838</v>
      </c>
      <c r="C1556">
        <v>39406</v>
      </c>
    </row>
    <row r="1557" spans="1:4" x14ac:dyDescent="0.25">
      <c r="A1557" t="s">
        <v>2839</v>
      </c>
      <c r="B1557" t="s">
        <v>2840</v>
      </c>
      <c r="C1557">
        <v>33987</v>
      </c>
      <c r="D1557" t="s">
        <v>281</v>
      </c>
    </row>
    <row r="1558" spans="1:4" x14ac:dyDescent="0.25">
      <c r="A1558" t="s">
        <v>2841</v>
      </c>
      <c r="B1558" t="s">
        <v>2842</v>
      </c>
      <c r="C1558">
        <v>24137</v>
      </c>
      <c r="D1558" t="s">
        <v>654</v>
      </c>
    </row>
    <row r="1559" spans="1:4" x14ac:dyDescent="0.25">
      <c r="A1559" t="s">
        <v>2843</v>
      </c>
      <c r="B1559" t="s">
        <v>2844</v>
      </c>
      <c r="C1559">
        <v>24138</v>
      </c>
    </row>
    <row r="1560" spans="1:4" x14ac:dyDescent="0.25">
      <c r="A1560" t="s">
        <v>2845</v>
      </c>
      <c r="B1560" t="s">
        <v>2844</v>
      </c>
      <c r="C1560">
        <v>48029</v>
      </c>
    </row>
    <row r="1561" spans="1:4" x14ac:dyDescent="0.25">
      <c r="A1561" t="s">
        <v>2846</v>
      </c>
      <c r="B1561" t="s">
        <v>2847</v>
      </c>
      <c r="C1561">
        <v>41347</v>
      </c>
      <c r="D1561" t="s">
        <v>267</v>
      </c>
    </row>
    <row r="1562" spans="1:4" x14ac:dyDescent="0.25">
      <c r="A1562" t="s">
        <v>2848</v>
      </c>
      <c r="B1562" t="s">
        <v>2849</v>
      </c>
      <c r="C1562">
        <v>34038</v>
      </c>
      <c r="D1562" t="s">
        <v>211</v>
      </c>
    </row>
    <row r="1563" spans="1:4" x14ac:dyDescent="0.25">
      <c r="A1563" t="s">
        <v>2850</v>
      </c>
      <c r="B1563" t="s">
        <v>2851</v>
      </c>
      <c r="C1563">
        <v>24060</v>
      </c>
      <c r="D1563" t="s">
        <v>278</v>
      </c>
    </row>
    <row r="1564" spans="1:4" x14ac:dyDescent="0.25">
      <c r="A1564" t="s">
        <v>2852</v>
      </c>
      <c r="B1564" t="s">
        <v>2853</v>
      </c>
      <c r="C1564">
        <v>24061</v>
      </c>
    </row>
    <row r="1565" spans="1:4" x14ac:dyDescent="0.25">
      <c r="A1565" t="s">
        <v>2854</v>
      </c>
      <c r="B1565" t="s">
        <v>2855</v>
      </c>
      <c r="C1565">
        <v>34092</v>
      </c>
      <c r="D1565" t="s">
        <v>281</v>
      </c>
    </row>
    <row r="1566" spans="1:4" x14ac:dyDescent="0.25">
      <c r="A1566" t="s">
        <v>2856</v>
      </c>
      <c r="B1566" t="s">
        <v>2857</v>
      </c>
      <c r="C1566">
        <v>44623</v>
      </c>
      <c r="D1566" t="s">
        <v>281</v>
      </c>
    </row>
    <row r="1567" spans="1:4" x14ac:dyDescent="0.25">
      <c r="A1567" t="s">
        <v>2858</v>
      </c>
      <c r="B1567" t="s">
        <v>2859</v>
      </c>
      <c r="C1567">
        <v>24618</v>
      </c>
    </row>
    <row r="1568" spans="1:4" x14ac:dyDescent="0.25">
      <c r="A1568" t="s">
        <v>2860</v>
      </c>
      <c r="B1568" t="s">
        <v>2861</v>
      </c>
      <c r="C1568">
        <v>34011</v>
      </c>
    </row>
    <row r="1569" spans="1:4" x14ac:dyDescent="0.25">
      <c r="A1569" t="s">
        <v>2862</v>
      </c>
      <c r="B1569" t="s">
        <v>2859</v>
      </c>
      <c r="C1569">
        <v>34012</v>
      </c>
    </row>
    <row r="1570" spans="1:4" x14ac:dyDescent="0.25">
      <c r="A1570" t="s">
        <v>2863</v>
      </c>
      <c r="B1570" t="s">
        <v>2864</v>
      </c>
      <c r="C1570">
        <v>24607</v>
      </c>
    </row>
    <row r="1571" spans="1:4" x14ac:dyDescent="0.25">
      <c r="A1571" t="s">
        <v>2865</v>
      </c>
      <c r="B1571" t="s">
        <v>2864</v>
      </c>
      <c r="C1571">
        <v>48030</v>
      </c>
    </row>
    <row r="1572" spans="1:4" x14ac:dyDescent="0.25">
      <c r="A1572" t="s">
        <v>2866</v>
      </c>
      <c r="B1572" t="s">
        <v>2867</v>
      </c>
      <c r="C1572">
        <v>24608</v>
      </c>
    </row>
    <row r="1573" spans="1:4" x14ac:dyDescent="0.25">
      <c r="A1573" t="s">
        <v>2868</v>
      </c>
      <c r="B1573" t="s">
        <v>2867</v>
      </c>
      <c r="C1573">
        <v>48031</v>
      </c>
    </row>
    <row r="1574" spans="1:4" x14ac:dyDescent="0.25">
      <c r="A1574" t="s">
        <v>2869</v>
      </c>
      <c r="B1574" t="s">
        <v>2870</v>
      </c>
      <c r="C1574">
        <v>24085</v>
      </c>
    </row>
    <row r="1575" spans="1:4" x14ac:dyDescent="0.25">
      <c r="A1575" t="s">
        <v>2871</v>
      </c>
      <c r="B1575" t="s">
        <v>2403</v>
      </c>
      <c r="C1575">
        <v>48034</v>
      </c>
    </row>
    <row r="1576" spans="1:4" x14ac:dyDescent="0.25">
      <c r="A1576" t="s">
        <v>2872</v>
      </c>
      <c r="B1576" t="s">
        <v>2873</v>
      </c>
      <c r="C1576">
        <v>48036</v>
      </c>
      <c r="D1576" t="s">
        <v>211</v>
      </c>
    </row>
    <row r="1577" spans="1:4" x14ac:dyDescent="0.25">
      <c r="A1577" t="s">
        <v>2874</v>
      </c>
      <c r="B1577" t="s">
        <v>2875</v>
      </c>
      <c r="C1577">
        <v>48040</v>
      </c>
    </row>
    <row r="1578" spans="1:4" x14ac:dyDescent="0.25">
      <c r="A1578" t="s">
        <v>2876</v>
      </c>
      <c r="B1578" t="s">
        <v>2877</v>
      </c>
      <c r="C1578">
        <v>34016</v>
      </c>
    </row>
    <row r="1579" spans="1:4" x14ac:dyDescent="0.25">
      <c r="A1579" t="s">
        <v>2878</v>
      </c>
      <c r="B1579" t="s">
        <v>2879</v>
      </c>
      <c r="C1579">
        <v>24328</v>
      </c>
      <c r="D1579" t="s">
        <v>278</v>
      </c>
    </row>
    <row r="1580" spans="1:4" x14ac:dyDescent="0.25">
      <c r="A1580" t="s">
        <v>2880</v>
      </c>
      <c r="B1580" t="s">
        <v>2881</v>
      </c>
      <c r="C1580">
        <v>25302</v>
      </c>
    </row>
    <row r="1581" spans="1:4" x14ac:dyDescent="0.25">
      <c r="A1581" t="s">
        <v>2882</v>
      </c>
      <c r="B1581" t="s">
        <v>2883</v>
      </c>
      <c r="C1581">
        <v>30944</v>
      </c>
    </row>
    <row r="1582" spans="1:4" x14ac:dyDescent="0.25">
      <c r="A1582" t="s">
        <v>2884</v>
      </c>
      <c r="B1582" t="s">
        <v>2885</v>
      </c>
      <c r="C1582">
        <v>24619</v>
      </c>
    </row>
    <row r="1583" spans="1:4" x14ac:dyDescent="0.25">
      <c r="A1583" t="s">
        <v>2886</v>
      </c>
      <c r="B1583" t="s">
        <v>2887</v>
      </c>
      <c r="C1583">
        <v>24620</v>
      </c>
    </row>
    <row r="1584" spans="1:4" x14ac:dyDescent="0.25">
      <c r="A1584" t="s">
        <v>2888</v>
      </c>
      <c r="B1584" t="s">
        <v>2889</v>
      </c>
      <c r="C1584">
        <v>25678</v>
      </c>
    </row>
    <row r="1585" spans="1:4" x14ac:dyDescent="0.25">
      <c r="A1585" t="s">
        <v>2890</v>
      </c>
      <c r="B1585" t="s">
        <v>2889</v>
      </c>
      <c r="C1585">
        <v>24621</v>
      </c>
    </row>
    <row r="1586" spans="1:4" x14ac:dyDescent="0.25">
      <c r="A1586" t="s">
        <v>2891</v>
      </c>
      <c r="B1586" t="s">
        <v>2889</v>
      </c>
      <c r="C1586">
        <v>24622</v>
      </c>
    </row>
    <row r="1587" spans="1:4" x14ac:dyDescent="0.25">
      <c r="A1587" t="s">
        <v>2892</v>
      </c>
      <c r="B1587" t="s">
        <v>2893</v>
      </c>
      <c r="C1587">
        <v>48046</v>
      </c>
    </row>
    <row r="1588" spans="1:4" x14ac:dyDescent="0.25">
      <c r="A1588" t="s">
        <v>2894</v>
      </c>
      <c r="B1588" t="s">
        <v>2895</v>
      </c>
      <c r="C1588">
        <v>25680</v>
      </c>
    </row>
    <row r="1589" spans="1:4" x14ac:dyDescent="0.25">
      <c r="A1589" t="s">
        <v>2896</v>
      </c>
      <c r="B1589" t="s">
        <v>2895</v>
      </c>
      <c r="C1589">
        <v>24624</v>
      </c>
    </row>
    <row r="1590" spans="1:4" x14ac:dyDescent="0.25">
      <c r="A1590" t="s">
        <v>2897</v>
      </c>
      <c r="B1590" t="s">
        <v>2898</v>
      </c>
      <c r="C1590">
        <v>24692</v>
      </c>
    </row>
    <row r="1591" spans="1:4" x14ac:dyDescent="0.25">
      <c r="A1591" t="s">
        <v>2899</v>
      </c>
      <c r="B1591" t="s">
        <v>2900</v>
      </c>
      <c r="C1591">
        <v>24693</v>
      </c>
    </row>
    <row r="1592" spans="1:4" x14ac:dyDescent="0.25">
      <c r="A1592" t="s">
        <v>2901</v>
      </c>
      <c r="B1592" t="s">
        <v>2902</v>
      </c>
      <c r="C1592">
        <v>25707</v>
      </c>
    </row>
    <row r="1593" spans="1:4" x14ac:dyDescent="0.25">
      <c r="A1593" t="s">
        <v>2903</v>
      </c>
      <c r="B1593" t="s">
        <v>2902</v>
      </c>
      <c r="C1593">
        <v>24695</v>
      </c>
    </row>
    <row r="1594" spans="1:4" x14ac:dyDescent="0.25">
      <c r="A1594" t="s">
        <v>2904</v>
      </c>
      <c r="B1594" t="s">
        <v>2902</v>
      </c>
      <c r="C1594">
        <v>24694</v>
      </c>
    </row>
    <row r="1595" spans="1:4" x14ac:dyDescent="0.25">
      <c r="A1595" t="s">
        <v>2905</v>
      </c>
      <c r="B1595" t="s">
        <v>2906</v>
      </c>
      <c r="C1595">
        <v>24696</v>
      </c>
    </row>
    <row r="1596" spans="1:4" x14ac:dyDescent="0.25">
      <c r="A1596" t="s">
        <v>2907</v>
      </c>
      <c r="B1596" t="s">
        <v>2906</v>
      </c>
      <c r="C1596">
        <v>48047</v>
      </c>
    </row>
    <row r="1597" spans="1:4" x14ac:dyDescent="0.25">
      <c r="A1597" t="s">
        <v>2908</v>
      </c>
      <c r="B1597" t="s">
        <v>2909</v>
      </c>
      <c r="C1597">
        <v>24697</v>
      </c>
    </row>
    <row r="1598" spans="1:4" x14ac:dyDescent="0.25">
      <c r="A1598" t="s">
        <v>2910</v>
      </c>
      <c r="B1598" t="s">
        <v>2911</v>
      </c>
      <c r="C1598">
        <v>33988</v>
      </c>
    </row>
    <row r="1599" spans="1:4" x14ac:dyDescent="0.25">
      <c r="A1599" t="s">
        <v>2912</v>
      </c>
      <c r="B1599" t="s">
        <v>2913</v>
      </c>
      <c r="C1599">
        <v>33989</v>
      </c>
      <c r="D1599" t="s">
        <v>319</v>
      </c>
    </row>
    <row r="1600" spans="1:4" x14ac:dyDescent="0.25">
      <c r="A1600" t="s">
        <v>2914</v>
      </c>
      <c r="B1600" t="s">
        <v>2915</v>
      </c>
      <c r="C1600">
        <v>48591</v>
      </c>
      <c r="D1600" t="s">
        <v>267</v>
      </c>
    </row>
    <row r="1601" spans="1:4" x14ac:dyDescent="0.25">
      <c r="A1601" t="s">
        <v>2916</v>
      </c>
      <c r="B1601" t="s">
        <v>2917</v>
      </c>
      <c r="C1601">
        <v>48049</v>
      </c>
    </row>
    <row r="1602" spans="1:4" x14ac:dyDescent="0.25">
      <c r="A1602" t="s">
        <v>2918</v>
      </c>
      <c r="B1602" t="s">
        <v>2919</v>
      </c>
      <c r="C1602">
        <v>34153</v>
      </c>
      <c r="D1602" t="s">
        <v>211</v>
      </c>
    </row>
    <row r="1603" spans="1:4" x14ac:dyDescent="0.25">
      <c r="A1603" t="s">
        <v>2920</v>
      </c>
      <c r="B1603" t="s">
        <v>2921</v>
      </c>
      <c r="C1603">
        <v>34154</v>
      </c>
      <c r="D1603" t="s">
        <v>211</v>
      </c>
    </row>
    <row r="1604" spans="1:4" x14ac:dyDescent="0.25">
      <c r="A1604" t="s">
        <v>2922</v>
      </c>
      <c r="B1604" t="s">
        <v>2923</v>
      </c>
      <c r="C1604">
        <v>34155</v>
      </c>
      <c r="D1604" t="s">
        <v>211</v>
      </c>
    </row>
    <row r="1605" spans="1:4" x14ac:dyDescent="0.25">
      <c r="A1605" t="s">
        <v>2924</v>
      </c>
      <c r="B1605" t="s">
        <v>2925</v>
      </c>
      <c r="C1605">
        <v>35956</v>
      </c>
      <c r="D1605" t="s">
        <v>211</v>
      </c>
    </row>
    <row r="1606" spans="1:4" x14ac:dyDescent="0.25">
      <c r="A1606" t="s">
        <v>2926</v>
      </c>
      <c r="B1606" t="s">
        <v>2927</v>
      </c>
      <c r="C1606">
        <v>24097</v>
      </c>
      <c r="D1606" t="s">
        <v>408</v>
      </c>
    </row>
    <row r="1607" spans="1:4" x14ac:dyDescent="0.25">
      <c r="A1607" t="s">
        <v>2928</v>
      </c>
      <c r="B1607" t="s">
        <v>2929</v>
      </c>
      <c r="C1607">
        <v>48052</v>
      </c>
      <c r="D1607" t="s">
        <v>319</v>
      </c>
    </row>
    <row r="1608" spans="1:4" x14ac:dyDescent="0.25">
      <c r="A1608" t="s">
        <v>2930</v>
      </c>
      <c r="B1608" t="s">
        <v>2931</v>
      </c>
      <c r="C1608">
        <v>33960</v>
      </c>
      <c r="D1608" t="s">
        <v>319</v>
      </c>
    </row>
    <row r="1609" spans="1:4" x14ac:dyDescent="0.25">
      <c r="A1609" t="s">
        <v>2932</v>
      </c>
      <c r="C1609">
        <v>25253</v>
      </c>
    </row>
    <row r="1610" spans="1:4" x14ac:dyDescent="0.25">
      <c r="A1610" t="s">
        <v>2933</v>
      </c>
      <c r="C1610">
        <v>25254</v>
      </c>
    </row>
    <row r="1611" spans="1:4" x14ac:dyDescent="0.25">
      <c r="A1611" t="s">
        <v>2934</v>
      </c>
      <c r="C1611">
        <v>25255</v>
      </c>
    </row>
    <row r="1612" spans="1:4" x14ac:dyDescent="0.25">
      <c r="A1612" t="s">
        <v>2935</v>
      </c>
      <c r="C1612">
        <v>25502</v>
      </c>
    </row>
    <row r="1613" spans="1:4" x14ac:dyDescent="0.25">
      <c r="A1613" t="s">
        <v>2936</v>
      </c>
      <c r="B1613" t="s">
        <v>2937</v>
      </c>
      <c r="C1613">
        <v>25256</v>
      </c>
      <c r="D1613" t="s">
        <v>319</v>
      </c>
    </row>
    <row r="1614" spans="1:4" x14ac:dyDescent="0.25">
      <c r="A1614" t="s">
        <v>2938</v>
      </c>
      <c r="C1614">
        <v>25257</v>
      </c>
    </row>
    <row r="1615" spans="1:4" x14ac:dyDescent="0.25">
      <c r="A1615" t="s">
        <v>2939</v>
      </c>
      <c r="B1615" t="s">
        <v>2940</v>
      </c>
      <c r="C1615">
        <v>25681</v>
      </c>
    </row>
    <row r="1616" spans="1:4" x14ac:dyDescent="0.25">
      <c r="A1616" t="s">
        <v>2941</v>
      </c>
      <c r="B1616" t="s">
        <v>2940</v>
      </c>
      <c r="C1616">
        <v>24625</v>
      </c>
    </row>
    <row r="1617" spans="1:4" x14ac:dyDescent="0.25">
      <c r="A1617" t="s">
        <v>2942</v>
      </c>
      <c r="B1617" t="s">
        <v>2943</v>
      </c>
      <c r="C1617">
        <v>24626</v>
      </c>
    </row>
    <row r="1618" spans="1:4" x14ac:dyDescent="0.25">
      <c r="A1618" t="s">
        <v>2944</v>
      </c>
      <c r="B1618" t="s">
        <v>2945</v>
      </c>
      <c r="C1618">
        <v>24627</v>
      </c>
    </row>
    <row r="1619" spans="1:4" x14ac:dyDescent="0.25">
      <c r="A1619" t="s">
        <v>2946</v>
      </c>
      <c r="B1619" t="s">
        <v>2945</v>
      </c>
      <c r="C1619">
        <v>48053</v>
      </c>
    </row>
    <row r="1620" spans="1:4" x14ac:dyDescent="0.25">
      <c r="A1620" t="s">
        <v>2947</v>
      </c>
      <c r="B1620" t="s">
        <v>2948</v>
      </c>
      <c r="C1620">
        <v>25682</v>
      </c>
    </row>
    <row r="1621" spans="1:4" x14ac:dyDescent="0.25">
      <c r="A1621" t="s">
        <v>2949</v>
      </c>
      <c r="B1621" t="s">
        <v>2948</v>
      </c>
      <c r="C1621">
        <v>24628</v>
      </c>
    </row>
    <row r="1622" spans="1:4" x14ac:dyDescent="0.25">
      <c r="A1622" t="s">
        <v>2950</v>
      </c>
      <c r="B1622" t="s">
        <v>2948</v>
      </c>
      <c r="C1622">
        <v>24629</v>
      </c>
    </row>
    <row r="1623" spans="1:4" x14ac:dyDescent="0.25">
      <c r="A1623" t="s">
        <v>2951</v>
      </c>
      <c r="B1623" t="s">
        <v>2948</v>
      </c>
      <c r="C1623">
        <v>24630</v>
      </c>
    </row>
    <row r="1624" spans="1:4" x14ac:dyDescent="0.25">
      <c r="A1624" t="s">
        <v>2952</v>
      </c>
      <c r="B1624" t="s">
        <v>2953</v>
      </c>
      <c r="C1624">
        <v>25246</v>
      </c>
      <c r="D1624" t="s">
        <v>231</v>
      </c>
    </row>
    <row r="1625" spans="1:4" x14ac:dyDescent="0.25">
      <c r="A1625" t="s">
        <v>2954</v>
      </c>
      <c r="B1625" t="s">
        <v>2955</v>
      </c>
      <c r="C1625">
        <v>48055</v>
      </c>
    </row>
    <row r="1626" spans="1:4" x14ac:dyDescent="0.25">
      <c r="A1626" t="s">
        <v>2956</v>
      </c>
      <c r="B1626" t="s">
        <v>2957</v>
      </c>
      <c r="C1626">
        <v>25687</v>
      </c>
    </row>
    <row r="1627" spans="1:4" x14ac:dyDescent="0.25">
      <c r="A1627" t="s">
        <v>2958</v>
      </c>
      <c r="B1627" t="s">
        <v>2957</v>
      </c>
      <c r="C1627">
        <v>24641</v>
      </c>
    </row>
    <row r="1628" spans="1:4" x14ac:dyDescent="0.25">
      <c r="A1628" t="s">
        <v>2959</v>
      </c>
      <c r="B1628" t="s">
        <v>2960</v>
      </c>
      <c r="C1628">
        <v>24642</v>
      </c>
    </row>
    <row r="1629" spans="1:4" x14ac:dyDescent="0.25">
      <c r="A1629" t="s">
        <v>2961</v>
      </c>
      <c r="B1629" t="s">
        <v>2962</v>
      </c>
      <c r="C1629">
        <v>48160</v>
      </c>
    </row>
    <row r="1630" spans="1:4" x14ac:dyDescent="0.25">
      <c r="A1630" t="s">
        <v>2963</v>
      </c>
      <c r="B1630" t="s">
        <v>2964</v>
      </c>
      <c r="C1630">
        <v>24674</v>
      </c>
    </row>
    <row r="1631" spans="1:4" x14ac:dyDescent="0.25">
      <c r="A1631" t="s">
        <v>2965</v>
      </c>
      <c r="B1631" t="s">
        <v>2966</v>
      </c>
      <c r="C1631">
        <v>48057</v>
      </c>
    </row>
    <row r="1632" spans="1:4" x14ac:dyDescent="0.25">
      <c r="A1632" t="s">
        <v>2967</v>
      </c>
      <c r="B1632" t="s">
        <v>2966</v>
      </c>
      <c r="C1632">
        <v>48058</v>
      </c>
    </row>
    <row r="1633" spans="1:4" x14ac:dyDescent="0.25">
      <c r="A1633" t="s">
        <v>2968</v>
      </c>
      <c r="B1633" t="s">
        <v>2969</v>
      </c>
      <c r="C1633">
        <v>25691</v>
      </c>
    </row>
    <row r="1634" spans="1:4" x14ac:dyDescent="0.25">
      <c r="A1634" t="s">
        <v>2970</v>
      </c>
      <c r="B1634" t="s">
        <v>2969</v>
      </c>
      <c r="C1634">
        <v>24649</v>
      </c>
    </row>
    <row r="1635" spans="1:4" x14ac:dyDescent="0.25">
      <c r="A1635" t="s">
        <v>2971</v>
      </c>
      <c r="B1635" t="s">
        <v>2972</v>
      </c>
      <c r="C1635">
        <v>24648</v>
      </c>
    </row>
    <row r="1636" spans="1:4" x14ac:dyDescent="0.25">
      <c r="A1636" t="s">
        <v>2973</v>
      </c>
      <c r="B1636" t="s">
        <v>2974</v>
      </c>
      <c r="C1636">
        <v>24380</v>
      </c>
    </row>
    <row r="1637" spans="1:4" x14ac:dyDescent="0.25">
      <c r="A1637" t="s">
        <v>2975</v>
      </c>
      <c r="B1637" t="s">
        <v>2976</v>
      </c>
      <c r="C1637">
        <v>24062</v>
      </c>
    </row>
    <row r="1638" spans="1:4" x14ac:dyDescent="0.25">
      <c r="A1638" t="s">
        <v>2977</v>
      </c>
      <c r="B1638" t="s">
        <v>2978</v>
      </c>
      <c r="C1638">
        <v>25504</v>
      </c>
      <c r="D1638" t="s">
        <v>211</v>
      </c>
    </row>
    <row r="1639" spans="1:4" x14ac:dyDescent="0.25">
      <c r="A1639" t="s">
        <v>2979</v>
      </c>
      <c r="B1639" t="s">
        <v>2978</v>
      </c>
      <c r="C1639">
        <v>24154</v>
      </c>
      <c r="D1639" t="s">
        <v>211</v>
      </c>
    </row>
    <row r="1640" spans="1:4" x14ac:dyDescent="0.25">
      <c r="A1640" t="s">
        <v>2980</v>
      </c>
      <c r="B1640" t="s">
        <v>2981</v>
      </c>
      <c r="C1640">
        <v>24155</v>
      </c>
      <c r="D1640" t="s">
        <v>654</v>
      </c>
    </row>
    <row r="1641" spans="1:4" x14ac:dyDescent="0.25">
      <c r="A1641" t="s">
        <v>2982</v>
      </c>
      <c r="B1641" t="s">
        <v>2983</v>
      </c>
      <c r="C1641">
        <v>48940</v>
      </c>
      <c r="D1641" t="s">
        <v>654</v>
      </c>
    </row>
    <row r="1642" spans="1:4" x14ac:dyDescent="0.25">
      <c r="A1642" t="s">
        <v>2984</v>
      </c>
      <c r="B1642" t="s">
        <v>2985</v>
      </c>
      <c r="C1642">
        <v>48941</v>
      </c>
      <c r="D1642" t="s">
        <v>654</v>
      </c>
    </row>
    <row r="1643" spans="1:4" x14ac:dyDescent="0.25">
      <c r="A1643" t="s">
        <v>2986</v>
      </c>
      <c r="B1643" t="s">
        <v>2987</v>
      </c>
      <c r="C1643">
        <v>42465</v>
      </c>
    </row>
    <row r="1644" spans="1:4" x14ac:dyDescent="0.25">
      <c r="A1644" t="s">
        <v>2988</v>
      </c>
      <c r="B1644" t="s">
        <v>2987</v>
      </c>
      <c r="C1644">
        <v>42466</v>
      </c>
    </row>
    <row r="1645" spans="1:4" x14ac:dyDescent="0.25">
      <c r="A1645" t="s">
        <v>2989</v>
      </c>
      <c r="B1645" t="s">
        <v>2990</v>
      </c>
      <c r="C1645">
        <v>25505</v>
      </c>
    </row>
    <row r="1646" spans="1:4" x14ac:dyDescent="0.25">
      <c r="A1646" t="s">
        <v>2991</v>
      </c>
      <c r="B1646" t="s">
        <v>2990</v>
      </c>
      <c r="C1646">
        <v>24156</v>
      </c>
    </row>
    <row r="1647" spans="1:4" x14ac:dyDescent="0.25">
      <c r="A1647" t="s">
        <v>2992</v>
      </c>
      <c r="B1647" t="s">
        <v>2993</v>
      </c>
      <c r="C1647">
        <v>48060</v>
      </c>
    </row>
    <row r="1648" spans="1:4" x14ac:dyDescent="0.25">
      <c r="A1648" t="s">
        <v>2994</v>
      </c>
      <c r="B1648" t="s">
        <v>2995</v>
      </c>
      <c r="C1648">
        <v>48061</v>
      </c>
    </row>
    <row r="1649" spans="1:4" x14ac:dyDescent="0.25">
      <c r="A1649" t="s">
        <v>2996</v>
      </c>
      <c r="B1649" t="s">
        <v>2995</v>
      </c>
      <c r="C1649">
        <v>48062</v>
      </c>
    </row>
    <row r="1650" spans="1:4" x14ac:dyDescent="0.25">
      <c r="A1650" t="s">
        <v>2997</v>
      </c>
      <c r="B1650" t="s">
        <v>2998</v>
      </c>
      <c r="C1650">
        <v>24140</v>
      </c>
    </row>
    <row r="1651" spans="1:4" x14ac:dyDescent="0.25">
      <c r="A1651" t="s">
        <v>2999</v>
      </c>
      <c r="B1651" t="s">
        <v>2998</v>
      </c>
      <c r="C1651">
        <v>48063</v>
      </c>
    </row>
    <row r="1652" spans="1:4" x14ac:dyDescent="0.25">
      <c r="A1652" t="s">
        <v>3000</v>
      </c>
      <c r="B1652" t="s">
        <v>3001</v>
      </c>
      <c r="C1652">
        <v>24141</v>
      </c>
      <c r="D1652" t="s">
        <v>278</v>
      </c>
    </row>
    <row r="1653" spans="1:4" x14ac:dyDescent="0.25">
      <c r="A1653" t="s">
        <v>3002</v>
      </c>
      <c r="B1653" t="s">
        <v>3003</v>
      </c>
      <c r="C1653">
        <v>30945</v>
      </c>
      <c r="D1653" t="s">
        <v>408</v>
      </c>
    </row>
    <row r="1654" spans="1:4" x14ac:dyDescent="0.25">
      <c r="A1654" t="s">
        <v>3004</v>
      </c>
      <c r="B1654" t="s">
        <v>3005</v>
      </c>
      <c r="C1654">
        <v>24139</v>
      </c>
      <c r="D1654" t="s">
        <v>408</v>
      </c>
    </row>
    <row r="1655" spans="1:4" x14ac:dyDescent="0.25">
      <c r="A1655" t="s">
        <v>3006</v>
      </c>
      <c r="B1655" t="s">
        <v>3007</v>
      </c>
      <c r="C1655">
        <v>24143</v>
      </c>
      <c r="D1655" t="s">
        <v>211</v>
      </c>
    </row>
    <row r="1656" spans="1:4" x14ac:dyDescent="0.25">
      <c r="A1656" t="s">
        <v>3008</v>
      </c>
      <c r="B1656" t="s">
        <v>3009</v>
      </c>
      <c r="C1656">
        <v>24142</v>
      </c>
      <c r="D1656" t="s">
        <v>408</v>
      </c>
    </row>
    <row r="1657" spans="1:4" x14ac:dyDescent="0.25">
      <c r="A1657" t="s">
        <v>3010</v>
      </c>
      <c r="B1657" t="s">
        <v>3011</v>
      </c>
      <c r="C1657">
        <v>48064</v>
      </c>
      <c r="D1657" t="s">
        <v>211</v>
      </c>
    </row>
    <row r="1658" spans="1:4" x14ac:dyDescent="0.25">
      <c r="A1658" t="s">
        <v>3012</v>
      </c>
      <c r="B1658" t="s">
        <v>3013</v>
      </c>
      <c r="C1658">
        <v>48065</v>
      </c>
      <c r="D1658" t="s">
        <v>408</v>
      </c>
    </row>
    <row r="1659" spans="1:4" x14ac:dyDescent="0.25">
      <c r="A1659" t="s">
        <v>3014</v>
      </c>
      <c r="B1659" t="s">
        <v>3015</v>
      </c>
      <c r="C1659">
        <v>24144</v>
      </c>
    </row>
    <row r="1660" spans="1:4" x14ac:dyDescent="0.25">
      <c r="A1660" t="s">
        <v>3016</v>
      </c>
      <c r="B1660" t="s">
        <v>3017</v>
      </c>
      <c r="C1660">
        <v>48401</v>
      </c>
      <c r="D1660" t="s">
        <v>3018</v>
      </c>
    </row>
    <row r="1661" spans="1:4" x14ac:dyDescent="0.25">
      <c r="A1661" t="s">
        <v>3019</v>
      </c>
      <c r="B1661" t="s">
        <v>3020</v>
      </c>
      <c r="C1661">
        <v>48066</v>
      </c>
    </row>
    <row r="1662" spans="1:4" x14ac:dyDescent="0.25">
      <c r="A1662" t="s">
        <v>3021</v>
      </c>
      <c r="B1662" t="s">
        <v>3022</v>
      </c>
      <c r="C1662">
        <v>48067</v>
      </c>
    </row>
    <row r="1663" spans="1:4" x14ac:dyDescent="0.25">
      <c r="A1663" t="s">
        <v>3023</v>
      </c>
      <c r="B1663" t="s">
        <v>3024</v>
      </c>
      <c r="C1663">
        <v>24659</v>
      </c>
    </row>
    <row r="1664" spans="1:4" x14ac:dyDescent="0.25">
      <c r="A1664" t="s">
        <v>3025</v>
      </c>
      <c r="B1664" t="s">
        <v>3026</v>
      </c>
      <c r="C1664">
        <v>25507</v>
      </c>
    </row>
    <row r="1665" spans="1:4" x14ac:dyDescent="0.25">
      <c r="A1665" t="s">
        <v>3027</v>
      </c>
      <c r="B1665" t="s">
        <v>3026</v>
      </c>
      <c r="C1665">
        <v>24408</v>
      </c>
    </row>
    <row r="1666" spans="1:4" x14ac:dyDescent="0.25">
      <c r="A1666" t="s">
        <v>3028</v>
      </c>
      <c r="B1666" t="s">
        <v>3029</v>
      </c>
      <c r="C1666">
        <v>24165</v>
      </c>
      <c r="D1666" t="s">
        <v>231</v>
      </c>
    </row>
    <row r="1667" spans="1:4" x14ac:dyDescent="0.25">
      <c r="A1667" t="s">
        <v>3030</v>
      </c>
      <c r="B1667" t="s">
        <v>3031</v>
      </c>
      <c r="C1667">
        <v>41348</v>
      </c>
      <c r="D1667" t="s">
        <v>281</v>
      </c>
    </row>
    <row r="1668" spans="1:4" x14ac:dyDescent="0.25">
      <c r="A1668" t="s">
        <v>3032</v>
      </c>
      <c r="B1668" t="s">
        <v>3033</v>
      </c>
      <c r="C1668">
        <v>24743</v>
      </c>
      <c r="D1668" t="s">
        <v>281</v>
      </c>
    </row>
    <row r="1669" spans="1:4" x14ac:dyDescent="0.25">
      <c r="A1669" t="s">
        <v>3034</v>
      </c>
      <c r="B1669" t="s">
        <v>3035</v>
      </c>
      <c r="C1669">
        <v>24662</v>
      </c>
      <c r="D1669" t="s">
        <v>267</v>
      </c>
    </row>
    <row r="1670" spans="1:4" x14ac:dyDescent="0.25">
      <c r="A1670" t="s">
        <v>3036</v>
      </c>
      <c r="B1670" t="s">
        <v>3037</v>
      </c>
      <c r="C1670">
        <v>24663</v>
      </c>
      <c r="D1670" t="s">
        <v>278</v>
      </c>
    </row>
    <row r="1671" spans="1:4" x14ac:dyDescent="0.25">
      <c r="A1671" t="s">
        <v>3038</v>
      </c>
      <c r="B1671" t="s">
        <v>3039</v>
      </c>
      <c r="C1671">
        <v>25697</v>
      </c>
    </row>
    <row r="1672" spans="1:4" x14ac:dyDescent="0.25">
      <c r="A1672" t="s">
        <v>3040</v>
      </c>
      <c r="B1672" t="s">
        <v>3039</v>
      </c>
      <c r="C1672">
        <v>24664</v>
      </c>
    </row>
    <row r="1673" spans="1:4" x14ac:dyDescent="0.25">
      <c r="A1673" t="s">
        <v>3041</v>
      </c>
      <c r="B1673" t="s">
        <v>3042</v>
      </c>
      <c r="C1673">
        <v>24665</v>
      </c>
    </row>
    <row r="1674" spans="1:4" x14ac:dyDescent="0.25">
      <c r="A1674" t="s">
        <v>3043</v>
      </c>
      <c r="B1674" t="s">
        <v>3044</v>
      </c>
      <c r="C1674">
        <v>25698</v>
      </c>
    </row>
    <row r="1675" spans="1:4" x14ac:dyDescent="0.25">
      <c r="A1675" t="s">
        <v>3045</v>
      </c>
      <c r="B1675" t="s">
        <v>3044</v>
      </c>
      <c r="C1675">
        <v>24666</v>
      </c>
    </row>
    <row r="1676" spans="1:4" x14ac:dyDescent="0.25">
      <c r="A1676" t="s">
        <v>3046</v>
      </c>
      <c r="B1676" t="s">
        <v>3047</v>
      </c>
      <c r="C1676">
        <v>24667</v>
      </c>
    </row>
    <row r="1677" spans="1:4" x14ac:dyDescent="0.25">
      <c r="A1677" t="s">
        <v>3048</v>
      </c>
      <c r="B1677" t="s">
        <v>3049</v>
      </c>
      <c r="C1677">
        <v>25699</v>
      </c>
    </row>
    <row r="1678" spans="1:4" x14ac:dyDescent="0.25">
      <c r="A1678" t="s">
        <v>3050</v>
      </c>
      <c r="B1678" t="s">
        <v>3049</v>
      </c>
      <c r="C1678">
        <v>24668</v>
      </c>
    </row>
    <row r="1679" spans="1:4" x14ac:dyDescent="0.25">
      <c r="A1679" t="s">
        <v>3051</v>
      </c>
      <c r="B1679" t="s">
        <v>3052</v>
      </c>
      <c r="C1679">
        <v>24669</v>
      </c>
    </row>
    <row r="1680" spans="1:4" x14ac:dyDescent="0.25">
      <c r="A1680" t="s">
        <v>3053</v>
      </c>
      <c r="B1680" t="s">
        <v>3054</v>
      </c>
      <c r="C1680">
        <v>48068</v>
      </c>
    </row>
    <row r="1681" spans="1:4" x14ac:dyDescent="0.25">
      <c r="A1681" t="s">
        <v>3055</v>
      </c>
      <c r="B1681" t="s">
        <v>3056</v>
      </c>
      <c r="C1681">
        <v>24801</v>
      </c>
      <c r="D1681" t="s">
        <v>267</v>
      </c>
    </row>
    <row r="1682" spans="1:4" x14ac:dyDescent="0.25">
      <c r="A1682" t="s">
        <v>3057</v>
      </c>
      <c r="B1682" t="s">
        <v>3058</v>
      </c>
      <c r="C1682">
        <v>24409</v>
      </c>
    </row>
    <row r="1683" spans="1:4" x14ac:dyDescent="0.25">
      <c r="A1683" t="s">
        <v>3059</v>
      </c>
      <c r="B1683" t="s">
        <v>3060</v>
      </c>
      <c r="C1683">
        <v>25587</v>
      </c>
    </row>
    <row r="1684" spans="1:4" x14ac:dyDescent="0.25">
      <c r="A1684" t="s">
        <v>3061</v>
      </c>
      <c r="B1684" t="s">
        <v>3062</v>
      </c>
      <c r="C1684">
        <v>48375</v>
      </c>
      <c r="D1684" t="s">
        <v>278</v>
      </c>
    </row>
    <row r="1685" spans="1:4" x14ac:dyDescent="0.25">
      <c r="A1685" t="s">
        <v>3063</v>
      </c>
      <c r="B1685" t="s">
        <v>3064</v>
      </c>
      <c r="C1685">
        <v>24411</v>
      </c>
    </row>
    <row r="1686" spans="1:4" x14ac:dyDescent="0.25">
      <c r="A1686" t="s">
        <v>3065</v>
      </c>
      <c r="B1686" t="s">
        <v>3066</v>
      </c>
      <c r="C1686">
        <v>24098</v>
      </c>
      <c r="D1686" t="s">
        <v>491</v>
      </c>
    </row>
    <row r="1687" spans="1:4" x14ac:dyDescent="0.25">
      <c r="A1687" t="s">
        <v>3067</v>
      </c>
      <c r="B1687" t="s">
        <v>3068</v>
      </c>
      <c r="C1687">
        <v>25508</v>
      </c>
      <c r="D1687" t="s">
        <v>491</v>
      </c>
    </row>
    <row r="1688" spans="1:4" x14ac:dyDescent="0.25">
      <c r="A1688" t="s">
        <v>3069</v>
      </c>
      <c r="B1688" t="s">
        <v>3070</v>
      </c>
      <c r="C1688">
        <v>48069</v>
      </c>
      <c r="D1688" t="s">
        <v>211</v>
      </c>
    </row>
    <row r="1689" spans="1:4" x14ac:dyDescent="0.25">
      <c r="A1689" t="s">
        <v>3071</v>
      </c>
      <c r="B1689" t="s">
        <v>3072</v>
      </c>
      <c r="C1689">
        <v>48070</v>
      </c>
      <c r="D1689" t="s">
        <v>491</v>
      </c>
    </row>
    <row r="1690" spans="1:4" x14ac:dyDescent="0.25">
      <c r="A1690" t="s">
        <v>3073</v>
      </c>
      <c r="B1690" t="s">
        <v>3074</v>
      </c>
      <c r="C1690">
        <v>24675</v>
      </c>
    </row>
    <row r="1691" spans="1:4" x14ac:dyDescent="0.25">
      <c r="A1691" t="s">
        <v>3075</v>
      </c>
      <c r="B1691" t="s">
        <v>3076</v>
      </c>
      <c r="C1691">
        <v>33990</v>
      </c>
      <c r="D1691" t="s">
        <v>231</v>
      </c>
    </row>
    <row r="1692" spans="1:4" x14ac:dyDescent="0.25">
      <c r="A1692" t="s">
        <v>3077</v>
      </c>
      <c r="B1692" t="s">
        <v>3078</v>
      </c>
      <c r="C1692">
        <v>25667</v>
      </c>
    </row>
    <row r="1693" spans="1:4" x14ac:dyDescent="0.25">
      <c r="A1693" t="s">
        <v>3079</v>
      </c>
      <c r="B1693" t="s">
        <v>3078</v>
      </c>
      <c r="C1693">
        <v>24591</v>
      </c>
    </row>
    <row r="1694" spans="1:4" x14ac:dyDescent="0.25">
      <c r="A1694" t="s">
        <v>3080</v>
      </c>
      <c r="B1694" t="s">
        <v>3081</v>
      </c>
      <c r="C1694">
        <v>25668</v>
      </c>
    </row>
    <row r="1695" spans="1:4" x14ac:dyDescent="0.25">
      <c r="A1695" t="s">
        <v>3082</v>
      </c>
      <c r="B1695" t="s">
        <v>3081</v>
      </c>
      <c r="C1695">
        <v>24592</v>
      </c>
    </row>
    <row r="1696" spans="1:4" x14ac:dyDescent="0.25">
      <c r="A1696" t="s">
        <v>3083</v>
      </c>
      <c r="B1696" t="s">
        <v>3084</v>
      </c>
      <c r="C1696">
        <v>24802</v>
      </c>
      <c r="D1696" t="s">
        <v>267</v>
      </c>
    </row>
    <row r="1697" spans="1:4" x14ac:dyDescent="0.25">
      <c r="A1697" t="s">
        <v>3085</v>
      </c>
      <c r="B1697" t="s">
        <v>3086</v>
      </c>
      <c r="C1697">
        <v>24462</v>
      </c>
      <c r="D1697" t="s">
        <v>408</v>
      </c>
    </row>
    <row r="1698" spans="1:4" x14ac:dyDescent="0.25">
      <c r="A1698" t="s">
        <v>3087</v>
      </c>
      <c r="B1698" t="s">
        <v>3088</v>
      </c>
      <c r="C1698">
        <v>24463</v>
      </c>
      <c r="D1698" t="s">
        <v>278</v>
      </c>
    </row>
    <row r="1699" spans="1:4" x14ac:dyDescent="0.25">
      <c r="A1699" t="s">
        <v>3089</v>
      </c>
      <c r="B1699" t="s">
        <v>3090</v>
      </c>
      <c r="C1699">
        <v>34039</v>
      </c>
      <c r="D1699" t="s">
        <v>252</v>
      </c>
    </row>
    <row r="1700" spans="1:4" x14ac:dyDescent="0.25">
      <c r="A1700" t="s">
        <v>3091</v>
      </c>
      <c r="B1700" t="s">
        <v>3092</v>
      </c>
      <c r="C1700">
        <v>48071</v>
      </c>
    </row>
    <row r="1701" spans="1:4" x14ac:dyDescent="0.25">
      <c r="A1701" t="s">
        <v>3093</v>
      </c>
      <c r="B1701" t="s">
        <v>3092</v>
      </c>
      <c r="C1701">
        <v>48072</v>
      </c>
    </row>
    <row r="1702" spans="1:4" x14ac:dyDescent="0.25">
      <c r="A1702" t="s">
        <v>3094</v>
      </c>
      <c r="B1702" t="s">
        <v>3095</v>
      </c>
      <c r="C1702">
        <v>24596</v>
      </c>
    </row>
    <row r="1703" spans="1:4" x14ac:dyDescent="0.25">
      <c r="A1703" t="s">
        <v>3096</v>
      </c>
      <c r="B1703" t="s">
        <v>3095</v>
      </c>
      <c r="C1703">
        <v>48073</v>
      </c>
    </row>
    <row r="1704" spans="1:4" x14ac:dyDescent="0.25">
      <c r="A1704" t="s">
        <v>3097</v>
      </c>
      <c r="B1704" t="s">
        <v>3098</v>
      </c>
      <c r="C1704">
        <v>24840</v>
      </c>
    </row>
    <row r="1705" spans="1:4" x14ac:dyDescent="0.25">
      <c r="A1705" t="s">
        <v>3099</v>
      </c>
      <c r="B1705" t="s">
        <v>3098</v>
      </c>
      <c r="C1705">
        <v>30869</v>
      </c>
    </row>
    <row r="1706" spans="1:4" x14ac:dyDescent="0.25">
      <c r="A1706" t="s">
        <v>3100</v>
      </c>
      <c r="B1706" t="s">
        <v>3101</v>
      </c>
      <c r="C1706">
        <v>42422</v>
      </c>
    </row>
    <row r="1707" spans="1:4" x14ac:dyDescent="0.25">
      <c r="A1707" t="s">
        <v>3102</v>
      </c>
      <c r="B1707" t="s">
        <v>3103</v>
      </c>
      <c r="C1707">
        <v>24073</v>
      </c>
      <c r="D1707" t="s">
        <v>211</v>
      </c>
    </row>
    <row r="1708" spans="1:4" x14ac:dyDescent="0.25">
      <c r="A1708" t="s">
        <v>3104</v>
      </c>
      <c r="B1708" t="s">
        <v>3105</v>
      </c>
      <c r="C1708">
        <v>34112</v>
      </c>
      <c r="D1708" t="s">
        <v>319</v>
      </c>
    </row>
    <row r="1709" spans="1:4" x14ac:dyDescent="0.25">
      <c r="A1709" t="s">
        <v>3106</v>
      </c>
      <c r="B1709" t="s">
        <v>3107</v>
      </c>
      <c r="C1709">
        <v>24198</v>
      </c>
    </row>
    <row r="1710" spans="1:4" x14ac:dyDescent="0.25">
      <c r="A1710" t="s">
        <v>3108</v>
      </c>
      <c r="B1710" t="s">
        <v>3109</v>
      </c>
      <c r="C1710">
        <v>25702</v>
      </c>
    </row>
    <row r="1711" spans="1:4" x14ac:dyDescent="0.25">
      <c r="A1711" t="s">
        <v>3110</v>
      </c>
      <c r="B1711" t="s">
        <v>3109</v>
      </c>
      <c r="C1711">
        <v>24676</v>
      </c>
    </row>
    <row r="1712" spans="1:4" x14ac:dyDescent="0.25">
      <c r="A1712" t="s">
        <v>3111</v>
      </c>
      <c r="B1712" t="s">
        <v>3112</v>
      </c>
      <c r="C1712">
        <v>24677</v>
      </c>
    </row>
    <row r="1713" spans="1:4" x14ac:dyDescent="0.25">
      <c r="A1713" t="s">
        <v>3113</v>
      </c>
      <c r="B1713" t="s">
        <v>3114</v>
      </c>
      <c r="C1713">
        <v>42423</v>
      </c>
    </row>
    <row r="1714" spans="1:4" x14ac:dyDescent="0.25">
      <c r="A1714" t="s">
        <v>3115</v>
      </c>
      <c r="B1714" t="s">
        <v>3116</v>
      </c>
      <c r="C1714">
        <v>42425</v>
      </c>
    </row>
    <row r="1715" spans="1:4" x14ac:dyDescent="0.25">
      <c r="A1715" t="s">
        <v>3117</v>
      </c>
      <c r="C1715">
        <v>42427</v>
      </c>
    </row>
    <row r="1716" spans="1:4" x14ac:dyDescent="0.25">
      <c r="A1716" t="s">
        <v>3118</v>
      </c>
      <c r="B1716" t="s">
        <v>3119</v>
      </c>
      <c r="C1716">
        <v>24101</v>
      </c>
    </row>
    <row r="1717" spans="1:4" x14ac:dyDescent="0.25">
      <c r="A1717" t="s">
        <v>3120</v>
      </c>
      <c r="B1717" t="s">
        <v>3121</v>
      </c>
      <c r="C1717">
        <v>24102</v>
      </c>
    </row>
    <row r="1718" spans="1:4" x14ac:dyDescent="0.25">
      <c r="A1718" t="s">
        <v>3122</v>
      </c>
      <c r="B1718" t="s">
        <v>3123</v>
      </c>
      <c r="C1718">
        <v>24841</v>
      </c>
    </row>
    <row r="1719" spans="1:4" x14ac:dyDescent="0.25">
      <c r="A1719" t="s">
        <v>3124</v>
      </c>
      <c r="B1719" t="s">
        <v>3125</v>
      </c>
      <c r="C1719">
        <v>24842</v>
      </c>
    </row>
    <row r="1720" spans="1:4" x14ac:dyDescent="0.25">
      <c r="A1720" t="s">
        <v>3126</v>
      </c>
      <c r="B1720" t="s">
        <v>3127</v>
      </c>
      <c r="C1720">
        <v>25720</v>
      </c>
    </row>
    <row r="1721" spans="1:4" x14ac:dyDescent="0.25">
      <c r="A1721" t="s">
        <v>3128</v>
      </c>
      <c r="B1721" t="s">
        <v>3127</v>
      </c>
      <c r="C1721">
        <v>24745</v>
      </c>
    </row>
    <row r="1722" spans="1:4" x14ac:dyDescent="0.25">
      <c r="A1722" t="s">
        <v>3129</v>
      </c>
      <c r="B1722" t="s">
        <v>3130</v>
      </c>
      <c r="C1722">
        <v>24746</v>
      </c>
      <c r="D1722" t="s">
        <v>278</v>
      </c>
    </row>
    <row r="1723" spans="1:4" x14ac:dyDescent="0.25">
      <c r="A1723" t="s">
        <v>3131</v>
      </c>
      <c r="B1723" t="s">
        <v>3132</v>
      </c>
      <c r="C1723">
        <v>24747</v>
      </c>
    </row>
    <row r="1724" spans="1:4" x14ac:dyDescent="0.25">
      <c r="A1724" t="s">
        <v>3133</v>
      </c>
      <c r="B1724" t="s">
        <v>3134</v>
      </c>
      <c r="C1724">
        <v>24748</v>
      </c>
    </row>
    <row r="1725" spans="1:4" x14ac:dyDescent="0.25">
      <c r="A1725" t="s">
        <v>3135</v>
      </c>
      <c r="B1725" t="s">
        <v>3136</v>
      </c>
      <c r="C1725">
        <v>24749</v>
      </c>
    </row>
    <row r="1726" spans="1:4" x14ac:dyDescent="0.25">
      <c r="A1726" t="s">
        <v>3137</v>
      </c>
      <c r="B1726" t="s">
        <v>3138</v>
      </c>
      <c r="C1726">
        <v>25721</v>
      </c>
    </row>
    <row r="1727" spans="1:4" x14ac:dyDescent="0.25">
      <c r="A1727" t="s">
        <v>3139</v>
      </c>
      <c r="B1727" t="s">
        <v>3140</v>
      </c>
      <c r="C1727">
        <v>24750</v>
      </c>
    </row>
    <row r="1728" spans="1:4" x14ac:dyDescent="0.25">
      <c r="A1728" t="s">
        <v>3141</v>
      </c>
      <c r="B1728" t="s">
        <v>3142</v>
      </c>
      <c r="C1728">
        <v>24751</v>
      </c>
    </row>
    <row r="1729" spans="1:4" x14ac:dyDescent="0.25">
      <c r="A1729" t="s">
        <v>3143</v>
      </c>
      <c r="B1729" t="s">
        <v>3144</v>
      </c>
      <c r="C1729">
        <v>42305</v>
      </c>
    </row>
    <row r="1730" spans="1:4" x14ac:dyDescent="0.25">
      <c r="A1730" t="s">
        <v>3145</v>
      </c>
      <c r="B1730" t="s">
        <v>3146</v>
      </c>
      <c r="C1730">
        <v>42306</v>
      </c>
    </row>
    <row r="1731" spans="1:4" x14ac:dyDescent="0.25">
      <c r="A1731" t="s">
        <v>3147</v>
      </c>
      <c r="B1731" t="s">
        <v>3148</v>
      </c>
      <c r="C1731">
        <v>24843</v>
      </c>
      <c r="D1731" t="s">
        <v>267</v>
      </c>
    </row>
    <row r="1732" spans="1:4" x14ac:dyDescent="0.25">
      <c r="A1732" t="s">
        <v>3149</v>
      </c>
      <c r="B1732" t="s">
        <v>3150</v>
      </c>
      <c r="C1732">
        <v>25509</v>
      </c>
    </row>
    <row r="1733" spans="1:4" x14ac:dyDescent="0.25">
      <c r="A1733" t="s">
        <v>3151</v>
      </c>
      <c r="B1733" t="s">
        <v>3152</v>
      </c>
      <c r="C1733">
        <v>25006</v>
      </c>
      <c r="D1733" t="s">
        <v>231</v>
      </c>
    </row>
    <row r="1734" spans="1:4" x14ac:dyDescent="0.25">
      <c r="A1734" t="s">
        <v>3153</v>
      </c>
      <c r="B1734" t="s">
        <v>3150</v>
      </c>
      <c r="C1734">
        <v>25007</v>
      </c>
    </row>
    <row r="1735" spans="1:4" x14ac:dyDescent="0.25">
      <c r="A1735" t="s">
        <v>3154</v>
      </c>
      <c r="B1735" t="s">
        <v>3155</v>
      </c>
      <c r="C1735">
        <v>24381</v>
      </c>
    </row>
    <row r="1736" spans="1:4" x14ac:dyDescent="0.25">
      <c r="A1736" t="s">
        <v>3156</v>
      </c>
      <c r="B1736" t="s">
        <v>3157</v>
      </c>
      <c r="C1736">
        <v>24382</v>
      </c>
      <c r="D1736" t="s">
        <v>267</v>
      </c>
    </row>
    <row r="1737" spans="1:4" x14ac:dyDescent="0.25">
      <c r="A1737" t="s">
        <v>3158</v>
      </c>
      <c r="B1737" t="s">
        <v>3159</v>
      </c>
      <c r="C1737">
        <v>24383</v>
      </c>
      <c r="D1737" t="s">
        <v>267</v>
      </c>
    </row>
    <row r="1738" spans="1:4" x14ac:dyDescent="0.25">
      <c r="A1738" t="s">
        <v>3160</v>
      </c>
      <c r="B1738" t="s">
        <v>3159</v>
      </c>
      <c r="C1738">
        <v>48075</v>
      </c>
      <c r="D1738" t="s">
        <v>267</v>
      </c>
    </row>
    <row r="1739" spans="1:4" x14ac:dyDescent="0.25">
      <c r="A1739" t="s">
        <v>3161</v>
      </c>
      <c r="B1739" t="s">
        <v>3162</v>
      </c>
      <c r="C1739">
        <v>25703</v>
      </c>
    </row>
    <row r="1740" spans="1:4" x14ac:dyDescent="0.25">
      <c r="A1740" t="s">
        <v>3163</v>
      </c>
      <c r="B1740" t="s">
        <v>3162</v>
      </c>
      <c r="C1740">
        <v>24679</v>
      </c>
    </row>
    <row r="1741" spans="1:4" x14ac:dyDescent="0.25">
      <c r="A1741" t="s">
        <v>3164</v>
      </c>
      <c r="B1741" t="s">
        <v>3162</v>
      </c>
      <c r="C1741">
        <v>24678</v>
      </c>
    </row>
    <row r="1742" spans="1:4" x14ac:dyDescent="0.25">
      <c r="A1742" t="s">
        <v>3165</v>
      </c>
      <c r="B1742" t="s">
        <v>3166</v>
      </c>
      <c r="C1742">
        <v>25704</v>
      </c>
    </row>
    <row r="1743" spans="1:4" x14ac:dyDescent="0.25">
      <c r="A1743" t="s">
        <v>3167</v>
      </c>
      <c r="B1743" t="s">
        <v>3166</v>
      </c>
      <c r="C1743">
        <v>24680</v>
      </c>
    </row>
    <row r="1744" spans="1:4" x14ac:dyDescent="0.25">
      <c r="A1744" t="s">
        <v>3168</v>
      </c>
      <c r="B1744" t="s">
        <v>3169</v>
      </c>
      <c r="C1744">
        <v>48076</v>
      </c>
    </row>
    <row r="1745" spans="1:4" x14ac:dyDescent="0.25">
      <c r="A1745" t="s">
        <v>3170</v>
      </c>
      <c r="B1745" t="s">
        <v>3171</v>
      </c>
      <c r="C1745">
        <v>25696</v>
      </c>
    </row>
    <row r="1746" spans="1:4" x14ac:dyDescent="0.25">
      <c r="A1746" t="s">
        <v>3172</v>
      </c>
      <c r="B1746" t="s">
        <v>3173</v>
      </c>
      <c r="C1746">
        <v>24643</v>
      </c>
    </row>
    <row r="1747" spans="1:4" x14ac:dyDescent="0.25">
      <c r="A1747" t="s">
        <v>3174</v>
      </c>
      <c r="B1747" t="s">
        <v>3175</v>
      </c>
      <c r="C1747">
        <v>25688</v>
      </c>
    </row>
    <row r="1748" spans="1:4" x14ac:dyDescent="0.25">
      <c r="A1748" t="s">
        <v>3176</v>
      </c>
      <c r="B1748" t="s">
        <v>3175</v>
      </c>
      <c r="C1748">
        <v>24644</v>
      </c>
    </row>
    <row r="1749" spans="1:4" x14ac:dyDescent="0.25">
      <c r="A1749" t="s">
        <v>3177</v>
      </c>
      <c r="B1749" t="s">
        <v>3178</v>
      </c>
      <c r="C1749">
        <v>24906</v>
      </c>
    </row>
    <row r="1750" spans="1:4" x14ac:dyDescent="0.25">
      <c r="A1750" t="s">
        <v>3179</v>
      </c>
      <c r="B1750" t="s">
        <v>3180</v>
      </c>
      <c r="C1750">
        <v>25510</v>
      </c>
    </row>
    <row r="1751" spans="1:4" x14ac:dyDescent="0.25">
      <c r="A1751" t="s">
        <v>3181</v>
      </c>
      <c r="B1751" t="s">
        <v>3182</v>
      </c>
      <c r="C1751">
        <v>24905</v>
      </c>
      <c r="D1751" t="s">
        <v>211</v>
      </c>
    </row>
    <row r="1752" spans="1:4" x14ac:dyDescent="0.25">
      <c r="A1752" t="s">
        <v>3183</v>
      </c>
      <c r="B1752" t="s">
        <v>3180</v>
      </c>
      <c r="C1752">
        <v>24907</v>
      </c>
    </row>
    <row r="1753" spans="1:4" x14ac:dyDescent="0.25">
      <c r="A1753" t="s">
        <v>3184</v>
      </c>
      <c r="B1753" t="s">
        <v>3180</v>
      </c>
      <c r="C1753">
        <v>24908</v>
      </c>
    </row>
    <row r="1754" spans="1:4" x14ac:dyDescent="0.25">
      <c r="A1754" t="s">
        <v>3185</v>
      </c>
      <c r="B1754" t="s">
        <v>3186</v>
      </c>
      <c r="C1754">
        <v>24909</v>
      </c>
    </row>
    <row r="1755" spans="1:4" x14ac:dyDescent="0.25">
      <c r="A1755" t="s">
        <v>3187</v>
      </c>
      <c r="B1755" t="s">
        <v>3188</v>
      </c>
      <c r="C1755">
        <v>24681</v>
      </c>
    </row>
    <row r="1756" spans="1:4" x14ac:dyDescent="0.25">
      <c r="A1756" t="s">
        <v>3189</v>
      </c>
      <c r="B1756" t="s">
        <v>3190</v>
      </c>
      <c r="C1756">
        <v>24752</v>
      </c>
      <c r="D1756" t="s">
        <v>278</v>
      </c>
    </row>
    <row r="1757" spans="1:4" x14ac:dyDescent="0.25">
      <c r="A1757" t="s">
        <v>3191</v>
      </c>
      <c r="B1757" t="s">
        <v>3192</v>
      </c>
      <c r="C1757">
        <v>25722</v>
      </c>
    </row>
    <row r="1758" spans="1:4" x14ac:dyDescent="0.25">
      <c r="A1758" t="s">
        <v>3193</v>
      </c>
      <c r="B1758" t="s">
        <v>3192</v>
      </c>
      <c r="C1758">
        <v>30854</v>
      </c>
    </row>
    <row r="1759" spans="1:4" x14ac:dyDescent="0.25">
      <c r="A1759" t="s">
        <v>3194</v>
      </c>
      <c r="B1759" t="s">
        <v>3195</v>
      </c>
      <c r="C1759">
        <v>24683</v>
      </c>
    </row>
    <row r="1760" spans="1:4" x14ac:dyDescent="0.25">
      <c r="A1760" t="s">
        <v>3196</v>
      </c>
      <c r="B1760" t="s">
        <v>3197</v>
      </c>
      <c r="C1760">
        <v>34013</v>
      </c>
    </row>
    <row r="1761" spans="1:4" x14ac:dyDescent="0.25">
      <c r="A1761" t="s">
        <v>3198</v>
      </c>
      <c r="B1761" t="s">
        <v>3199</v>
      </c>
      <c r="C1761">
        <v>25706</v>
      </c>
    </row>
    <row r="1762" spans="1:4" x14ac:dyDescent="0.25">
      <c r="A1762" t="s">
        <v>3200</v>
      </c>
      <c r="B1762" t="s">
        <v>3199</v>
      </c>
      <c r="C1762">
        <v>24684</v>
      </c>
    </row>
    <row r="1763" spans="1:4" x14ac:dyDescent="0.25">
      <c r="A1763" t="s">
        <v>3201</v>
      </c>
      <c r="B1763" t="s">
        <v>3202</v>
      </c>
      <c r="C1763">
        <v>25731</v>
      </c>
    </row>
    <row r="1764" spans="1:4" x14ac:dyDescent="0.25">
      <c r="A1764" t="s">
        <v>3203</v>
      </c>
      <c r="B1764" t="s">
        <v>3202</v>
      </c>
      <c r="C1764">
        <v>24767</v>
      </c>
    </row>
    <row r="1765" spans="1:4" x14ac:dyDescent="0.25">
      <c r="A1765" t="s">
        <v>3204</v>
      </c>
      <c r="B1765" t="s">
        <v>3202</v>
      </c>
      <c r="C1765">
        <v>24766</v>
      </c>
    </row>
    <row r="1766" spans="1:4" x14ac:dyDescent="0.25">
      <c r="A1766" t="s">
        <v>3205</v>
      </c>
      <c r="B1766" t="s">
        <v>3206</v>
      </c>
      <c r="C1766">
        <v>24768</v>
      </c>
    </row>
    <row r="1767" spans="1:4" x14ac:dyDescent="0.25">
      <c r="A1767" t="s">
        <v>3207</v>
      </c>
      <c r="B1767" t="s">
        <v>3208</v>
      </c>
      <c r="C1767">
        <v>24769</v>
      </c>
    </row>
    <row r="1768" spans="1:4" x14ac:dyDescent="0.25">
      <c r="A1768" t="s">
        <v>3209</v>
      </c>
      <c r="B1768" t="s">
        <v>3210</v>
      </c>
      <c r="C1768">
        <v>25732</v>
      </c>
    </row>
    <row r="1769" spans="1:4" x14ac:dyDescent="0.25">
      <c r="A1769" t="s">
        <v>3211</v>
      </c>
      <c r="B1769" t="s">
        <v>3210</v>
      </c>
      <c r="C1769">
        <v>24770</v>
      </c>
    </row>
    <row r="1770" spans="1:4" x14ac:dyDescent="0.25">
      <c r="A1770" t="s">
        <v>3212</v>
      </c>
      <c r="B1770" t="s">
        <v>3213</v>
      </c>
      <c r="C1770">
        <v>24771</v>
      </c>
    </row>
    <row r="1771" spans="1:4" x14ac:dyDescent="0.25">
      <c r="A1771" t="s">
        <v>3214</v>
      </c>
      <c r="B1771" t="s">
        <v>3215</v>
      </c>
      <c r="C1771">
        <v>24163</v>
      </c>
      <c r="D1771" t="s">
        <v>281</v>
      </c>
    </row>
    <row r="1772" spans="1:4" x14ac:dyDescent="0.25">
      <c r="A1772" t="s">
        <v>3216</v>
      </c>
      <c r="B1772" t="s">
        <v>3217</v>
      </c>
      <c r="C1772">
        <v>24164</v>
      </c>
      <c r="D1772" t="s">
        <v>654</v>
      </c>
    </row>
    <row r="1773" spans="1:4" x14ac:dyDescent="0.25">
      <c r="A1773" t="s">
        <v>3218</v>
      </c>
      <c r="B1773" t="s">
        <v>3219</v>
      </c>
      <c r="C1773">
        <v>34052</v>
      </c>
    </row>
    <row r="1774" spans="1:4" x14ac:dyDescent="0.25">
      <c r="A1774" t="s">
        <v>3220</v>
      </c>
      <c r="B1774" t="s">
        <v>3221</v>
      </c>
      <c r="C1774">
        <v>33900</v>
      </c>
      <c r="D1774" t="s">
        <v>281</v>
      </c>
    </row>
    <row r="1775" spans="1:4" x14ac:dyDescent="0.25">
      <c r="A1775" t="s">
        <v>3222</v>
      </c>
      <c r="B1775" t="s">
        <v>3223</v>
      </c>
      <c r="C1775">
        <v>34035</v>
      </c>
      <c r="D1775" t="s">
        <v>319</v>
      </c>
    </row>
    <row r="1776" spans="1:4" x14ac:dyDescent="0.25">
      <c r="A1776" t="s">
        <v>3224</v>
      </c>
      <c r="B1776" t="s">
        <v>3225</v>
      </c>
      <c r="C1776">
        <v>48077</v>
      </c>
      <c r="D1776" t="s">
        <v>231</v>
      </c>
    </row>
    <row r="1777" spans="1:4" x14ac:dyDescent="0.25">
      <c r="A1777" t="s">
        <v>3226</v>
      </c>
      <c r="B1777" t="s">
        <v>3227</v>
      </c>
      <c r="C1777">
        <v>34037</v>
      </c>
      <c r="D1777" t="s">
        <v>211</v>
      </c>
    </row>
    <row r="1778" spans="1:4" x14ac:dyDescent="0.25">
      <c r="A1778" t="s">
        <v>3228</v>
      </c>
      <c r="C1778">
        <v>25199</v>
      </c>
    </row>
    <row r="1779" spans="1:4" x14ac:dyDescent="0.25">
      <c r="A1779" t="s">
        <v>3229</v>
      </c>
      <c r="C1779">
        <v>25200</v>
      </c>
    </row>
    <row r="1780" spans="1:4" x14ac:dyDescent="0.25">
      <c r="A1780" t="s">
        <v>3230</v>
      </c>
      <c r="B1780" t="s">
        <v>3231</v>
      </c>
      <c r="C1780">
        <v>25708</v>
      </c>
      <c r="D1780" t="s">
        <v>211</v>
      </c>
    </row>
    <row r="1781" spans="1:4" x14ac:dyDescent="0.25">
      <c r="A1781" t="s">
        <v>3232</v>
      </c>
      <c r="B1781" t="s">
        <v>3231</v>
      </c>
      <c r="C1781">
        <v>24698</v>
      </c>
      <c r="D1781" t="s">
        <v>211</v>
      </c>
    </row>
    <row r="1782" spans="1:4" x14ac:dyDescent="0.25">
      <c r="A1782" t="s">
        <v>3233</v>
      </c>
      <c r="B1782" t="s">
        <v>3234</v>
      </c>
      <c r="C1782">
        <v>24699</v>
      </c>
    </row>
    <row r="1783" spans="1:4" x14ac:dyDescent="0.25">
      <c r="A1783" t="s">
        <v>3235</v>
      </c>
      <c r="B1783" t="s">
        <v>3236</v>
      </c>
      <c r="C1783">
        <v>34093</v>
      </c>
      <c r="D1783" t="s">
        <v>231</v>
      </c>
    </row>
    <row r="1784" spans="1:4" x14ac:dyDescent="0.25">
      <c r="A1784" t="s">
        <v>3237</v>
      </c>
      <c r="B1784" t="s">
        <v>3238</v>
      </c>
      <c r="C1784">
        <v>33991</v>
      </c>
      <c r="D1784" t="s">
        <v>319</v>
      </c>
    </row>
    <row r="1785" spans="1:4" x14ac:dyDescent="0.25">
      <c r="A1785" t="s">
        <v>3239</v>
      </c>
      <c r="B1785" t="s">
        <v>3240</v>
      </c>
      <c r="C1785">
        <v>24103</v>
      </c>
    </row>
    <row r="1786" spans="1:4" x14ac:dyDescent="0.25">
      <c r="A1786" t="s">
        <v>3241</v>
      </c>
      <c r="B1786" t="s">
        <v>3242</v>
      </c>
      <c r="C1786">
        <v>24104</v>
      </c>
    </row>
    <row r="1787" spans="1:4" x14ac:dyDescent="0.25">
      <c r="A1787" t="s">
        <v>3243</v>
      </c>
      <c r="B1787" t="s">
        <v>3244</v>
      </c>
      <c r="C1787">
        <v>24105</v>
      </c>
    </row>
    <row r="1788" spans="1:4" x14ac:dyDescent="0.25">
      <c r="A1788" t="s">
        <v>3245</v>
      </c>
      <c r="B1788" t="s">
        <v>3246</v>
      </c>
      <c r="C1788">
        <v>24106</v>
      </c>
    </row>
    <row r="1789" spans="1:4" x14ac:dyDescent="0.25">
      <c r="A1789" t="s">
        <v>3247</v>
      </c>
      <c r="B1789" t="s">
        <v>3248</v>
      </c>
      <c r="C1789">
        <v>25261</v>
      </c>
    </row>
    <row r="1790" spans="1:4" x14ac:dyDescent="0.25">
      <c r="A1790" t="s">
        <v>3249</v>
      </c>
      <c r="B1790" t="s">
        <v>3250</v>
      </c>
      <c r="C1790">
        <v>25262</v>
      </c>
    </row>
    <row r="1791" spans="1:4" x14ac:dyDescent="0.25">
      <c r="A1791" t="s">
        <v>3251</v>
      </c>
      <c r="C1791">
        <v>25201</v>
      </c>
    </row>
    <row r="1792" spans="1:4" x14ac:dyDescent="0.25">
      <c r="A1792" t="s">
        <v>3252</v>
      </c>
      <c r="B1792" t="s">
        <v>3253</v>
      </c>
      <c r="C1792">
        <v>25345</v>
      </c>
      <c r="D1792" t="s">
        <v>281</v>
      </c>
    </row>
    <row r="1793" spans="1:4" x14ac:dyDescent="0.25">
      <c r="A1793" t="s">
        <v>3254</v>
      </c>
      <c r="B1793" t="s">
        <v>3255</v>
      </c>
      <c r="C1793">
        <v>24166</v>
      </c>
      <c r="D1793" t="s">
        <v>281</v>
      </c>
    </row>
    <row r="1794" spans="1:4" x14ac:dyDescent="0.25">
      <c r="A1794" t="s">
        <v>3256</v>
      </c>
      <c r="B1794" t="s">
        <v>3257</v>
      </c>
      <c r="C1794">
        <v>43360</v>
      </c>
      <c r="D1794" t="s">
        <v>281</v>
      </c>
    </row>
    <row r="1795" spans="1:4" x14ac:dyDescent="0.25">
      <c r="A1795" t="s">
        <v>3258</v>
      </c>
      <c r="B1795" t="s">
        <v>3259</v>
      </c>
      <c r="C1795">
        <v>44625</v>
      </c>
      <c r="D1795" t="s">
        <v>252</v>
      </c>
    </row>
    <row r="1796" spans="1:4" x14ac:dyDescent="0.25">
      <c r="A1796" t="s">
        <v>3260</v>
      </c>
      <c r="B1796" t="s">
        <v>3261</v>
      </c>
      <c r="C1796">
        <v>24230</v>
      </c>
    </row>
    <row r="1797" spans="1:4" x14ac:dyDescent="0.25">
      <c r="A1797" t="s">
        <v>3262</v>
      </c>
      <c r="B1797" t="s">
        <v>3261</v>
      </c>
      <c r="C1797">
        <v>48078</v>
      </c>
    </row>
    <row r="1798" spans="1:4" x14ac:dyDescent="0.25">
      <c r="A1798" t="s">
        <v>3263</v>
      </c>
      <c r="B1798" t="s">
        <v>3264</v>
      </c>
      <c r="C1798">
        <v>48079</v>
      </c>
    </row>
    <row r="1799" spans="1:4" x14ac:dyDescent="0.25">
      <c r="A1799" t="s">
        <v>3265</v>
      </c>
      <c r="B1799" t="s">
        <v>3266</v>
      </c>
      <c r="C1799">
        <v>24231</v>
      </c>
      <c r="D1799" t="s">
        <v>211</v>
      </c>
    </row>
    <row r="1800" spans="1:4" x14ac:dyDescent="0.25">
      <c r="A1800" t="s">
        <v>3267</v>
      </c>
      <c r="B1800" t="s">
        <v>3268</v>
      </c>
      <c r="C1800">
        <v>24232</v>
      </c>
    </row>
    <row r="1801" spans="1:4" x14ac:dyDescent="0.25">
      <c r="A1801" t="s">
        <v>3269</v>
      </c>
      <c r="B1801" t="s">
        <v>3270</v>
      </c>
      <c r="C1801">
        <v>24233</v>
      </c>
      <c r="D1801" t="s">
        <v>278</v>
      </c>
    </row>
    <row r="1802" spans="1:4" x14ac:dyDescent="0.25">
      <c r="A1802" t="s">
        <v>3271</v>
      </c>
      <c r="B1802" t="s">
        <v>3272</v>
      </c>
      <c r="C1802">
        <v>24234</v>
      </c>
    </row>
    <row r="1803" spans="1:4" x14ac:dyDescent="0.25">
      <c r="A1803" t="s">
        <v>3273</v>
      </c>
      <c r="B1803" t="s">
        <v>3274</v>
      </c>
      <c r="C1803">
        <v>24235</v>
      </c>
    </row>
    <row r="1804" spans="1:4" x14ac:dyDescent="0.25">
      <c r="A1804" t="s">
        <v>3275</v>
      </c>
      <c r="B1804" t="s">
        <v>3276</v>
      </c>
      <c r="C1804">
        <v>24236</v>
      </c>
      <c r="D1804" t="s">
        <v>211</v>
      </c>
    </row>
    <row r="1805" spans="1:4" x14ac:dyDescent="0.25">
      <c r="A1805" t="s">
        <v>3277</v>
      </c>
      <c r="B1805" t="s">
        <v>3278</v>
      </c>
      <c r="C1805">
        <v>24237</v>
      </c>
    </row>
    <row r="1806" spans="1:4" x14ac:dyDescent="0.25">
      <c r="A1806" t="s">
        <v>3279</v>
      </c>
      <c r="B1806" t="s">
        <v>3280</v>
      </c>
      <c r="C1806">
        <v>48080</v>
      </c>
    </row>
    <row r="1807" spans="1:4" x14ac:dyDescent="0.25">
      <c r="A1807" t="s">
        <v>3281</v>
      </c>
      <c r="B1807" t="s">
        <v>3282</v>
      </c>
      <c r="C1807">
        <v>24239</v>
      </c>
    </row>
    <row r="1808" spans="1:4" x14ac:dyDescent="0.25">
      <c r="A1808" t="s">
        <v>3283</v>
      </c>
      <c r="B1808" t="s">
        <v>3284</v>
      </c>
      <c r="C1808">
        <v>34018</v>
      </c>
    </row>
    <row r="1809" spans="1:4" x14ac:dyDescent="0.25">
      <c r="A1809" t="s">
        <v>3285</v>
      </c>
      <c r="B1809" t="s">
        <v>3282</v>
      </c>
      <c r="C1809">
        <v>48081</v>
      </c>
    </row>
    <row r="1810" spans="1:4" x14ac:dyDescent="0.25">
      <c r="A1810" t="s">
        <v>3286</v>
      </c>
      <c r="B1810" t="s">
        <v>3287</v>
      </c>
      <c r="C1810">
        <v>24240</v>
      </c>
      <c r="D1810" t="s">
        <v>278</v>
      </c>
    </row>
    <row r="1811" spans="1:4" x14ac:dyDescent="0.25">
      <c r="A1811" t="s">
        <v>3288</v>
      </c>
      <c r="B1811" t="s">
        <v>3289</v>
      </c>
      <c r="C1811">
        <v>24241</v>
      </c>
      <c r="D1811" t="s">
        <v>211</v>
      </c>
    </row>
    <row r="1812" spans="1:4" x14ac:dyDescent="0.25">
      <c r="A1812" t="s">
        <v>3290</v>
      </c>
      <c r="B1812" t="s">
        <v>3291</v>
      </c>
      <c r="C1812">
        <v>25511</v>
      </c>
    </row>
    <row r="1813" spans="1:4" x14ac:dyDescent="0.25">
      <c r="A1813" t="s">
        <v>3292</v>
      </c>
      <c r="B1813" t="s">
        <v>3291</v>
      </c>
      <c r="C1813">
        <v>25259</v>
      </c>
    </row>
    <row r="1814" spans="1:4" x14ac:dyDescent="0.25">
      <c r="A1814" t="s">
        <v>3293</v>
      </c>
      <c r="B1814" t="s">
        <v>3294</v>
      </c>
      <c r="C1814">
        <v>25258</v>
      </c>
      <c r="D1814" t="s">
        <v>278</v>
      </c>
    </row>
    <row r="1815" spans="1:4" x14ac:dyDescent="0.25">
      <c r="A1815" t="s">
        <v>3295</v>
      </c>
      <c r="B1815" t="s">
        <v>3296</v>
      </c>
      <c r="C1815">
        <v>25260</v>
      </c>
      <c r="D1815" t="s">
        <v>278</v>
      </c>
    </row>
    <row r="1816" spans="1:4" x14ac:dyDescent="0.25">
      <c r="A1816" t="s">
        <v>3297</v>
      </c>
      <c r="B1816" t="s">
        <v>3298</v>
      </c>
      <c r="C1816">
        <v>25303</v>
      </c>
    </row>
    <row r="1817" spans="1:4" x14ac:dyDescent="0.25">
      <c r="A1817" t="s">
        <v>3299</v>
      </c>
      <c r="B1817" t="s">
        <v>3300</v>
      </c>
      <c r="C1817">
        <v>42416</v>
      </c>
    </row>
    <row r="1818" spans="1:4" x14ac:dyDescent="0.25">
      <c r="A1818" t="s">
        <v>3301</v>
      </c>
      <c r="B1818" t="s">
        <v>3302</v>
      </c>
      <c r="C1818">
        <v>25263</v>
      </c>
    </row>
    <row r="1819" spans="1:4" x14ac:dyDescent="0.25">
      <c r="A1819" t="s">
        <v>3303</v>
      </c>
      <c r="B1819" t="s">
        <v>3304</v>
      </c>
      <c r="C1819">
        <v>25264</v>
      </c>
    </row>
    <row r="1820" spans="1:4" x14ac:dyDescent="0.25">
      <c r="A1820" t="s">
        <v>3305</v>
      </c>
      <c r="B1820" t="s">
        <v>3306</v>
      </c>
      <c r="C1820">
        <v>25304</v>
      </c>
    </row>
    <row r="1821" spans="1:4" x14ac:dyDescent="0.25">
      <c r="A1821" t="s">
        <v>3307</v>
      </c>
      <c r="B1821" t="s">
        <v>3308</v>
      </c>
      <c r="C1821">
        <v>25432</v>
      </c>
    </row>
    <row r="1822" spans="1:4" x14ac:dyDescent="0.25">
      <c r="A1822" t="s">
        <v>3309</v>
      </c>
      <c r="B1822" t="s">
        <v>3310</v>
      </c>
      <c r="C1822">
        <v>25433</v>
      </c>
    </row>
    <row r="1823" spans="1:4" x14ac:dyDescent="0.25">
      <c r="A1823" t="s">
        <v>3311</v>
      </c>
      <c r="B1823" t="s">
        <v>3312</v>
      </c>
      <c r="C1823">
        <v>25434</v>
      </c>
    </row>
    <row r="1824" spans="1:4" x14ac:dyDescent="0.25">
      <c r="A1824" t="s">
        <v>3313</v>
      </c>
      <c r="B1824" t="s">
        <v>3314</v>
      </c>
      <c r="C1824">
        <v>24063</v>
      </c>
    </row>
    <row r="1825" spans="1:4" x14ac:dyDescent="0.25">
      <c r="A1825" t="s">
        <v>3315</v>
      </c>
      <c r="B1825" t="s">
        <v>3316</v>
      </c>
      <c r="C1825">
        <v>24981</v>
      </c>
    </row>
    <row r="1826" spans="1:4" x14ac:dyDescent="0.25">
      <c r="A1826" t="s">
        <v>3317</v>
      </c>
      <c r="B1826" t="s">
        <v>3318</v>
      </c>
      <c r="C1826">
        <v>48085</v>
      </c>
    </row>
    <row r="1827" spans="1:4" x14ac:dyDescent="0.25">
      <c r="A1827" t="s">
        <v>3319</v>
      </c>
      <c r="B1827" t="s">
        <v>3320</v>
      </c>
      <c r="C1827">
        <v>25579</v>
      </c>
    </row>
    <row r="1828" spans="1:4" x14ac:dyDescent="0.25">
      <c r="A1828" t="s">
        <v>3321</v>
      </c>
      <c r="B1828" t="s">
        <v>3322</v>
      </c>
      <c r="C1828">
        <v>24388</v>
      </c>
      <c r="D1828" t="s">
        <v>408</v>
      </c>
    </row>
    <row r="1829" spans="1:4" x14ac:dyDescent="0.25">
      <c r="A1829" t="s">
        <v>3323</v>
      </c>
      <c r="B1829" t="s">
        <v>3324</v>
      </c>
      <c r="C1829">
        <v>24389</v>
      </c>
      <c r="D1829" t="s">
        <v>278</v>
      </c>
    </row>
    <row r="1830" spans="1:4" x14ac:dyDescent="0.25">
      <c r="A1830" t="s">
        <v>3325</v>
      </c>
      <c r="B1830" t="s">
        <v>3326</v>
      </c>
      <c r="C1830">
        <v>24390</v>
      </c>
    </row>
    <row r="1831" spans="1:4" x14ac:dyDescent="0.25">
      <c r="A1831" t="s">
        <v>3327</v>
      </c>
      <c r="B1831" t="s">
        <v>3328</v>
      </c>
      <c r="C1831">
        <v>24701</v>
      </c>
    </row>
    <row r="1832" spans="1:4" x14ac:dyDescent="0.25">
      <c r="A1832" t="s">
        <v>3329</v>
      </c>
      <c r="B1832" t="s">
        <v>3330</v>
      </c>
      <c r="C1832">
        <v>24702</v>
      </c>
    </row>
    <row r="1833" spans="1:4" x14ac:dyDescent="0.25">
      <c r="A1833" t="s">
        <v>3331</v>
      </c>
      <c r="B1833" t="s">
        <v>3332</v>
      </c>
      <c r="C1833">
        <v>30834</v>
      </c>
    </row>
    <row r="1834" spans="1:4" x14ac:dyDescent="0.25">
      <c r="A1834" t="s">
        <v>3333</v>
      </c>
      <c r="B1834" t="s">
        <v>3334</v>
      </c>
      <c r="C1834">
        <v>24703</v>
      </c>
    </row>
    <row r="1835" spans="1:4" x14ac:dyDescent="0.25">
      <c r="A1835" t="s">
        <v>3335</v>
      </c>
      <c r="B1835" t="s">
        <v>3336</v>
      </c>
      <c r="C1835">
        <v>25709</v>
      </c>
    </row>
    <row r="1836" spans="1:4" x14ac:dyDescent="0.25">
      <c r="A1836" t="s">
        <v>3337</v>
      </c>
      <c r="B1836" t="s">
        <v>3336</v>
      </c>
      <c r="C1836">
        <v>24704</v>
      </c>
    </row>
    <row r="1837" spans="1:4" x14ac:dyDescent="0.25">
      <c r="A1837" t="s">
        <v>3338</v>
      </c>
      <c r="B1837" t="s">
        <v>3339</v>
      </c>
      <c r="C1837">
        <v>25710</v>
      </c>
    </row>
    <row r="1838" spans="1:4" x14ac:dyDescent="0.25">
      <c r="A1838" t="s">
        <v>3340</v>
      </c>
      <c r="B1838" t="s">
        <v>3339</v>
      </c>
      <c r="C1838">
        <v>24706</v>
      </c>
    </row>
    <row r="1839" spans="1:4" x14ac:dyDescent="0.25">
      <c r="A1839" t="s">
        <v>3341</v>
      </c>
      <c r="B1839" t="s">
        <v>3339</v>
      </c>
      <c r="C1839">
        <v>24705</v>
      </c>
    </row>
    <row r="1840" spans="1:4" x14ac:dyDescent="0.25">
      <c r="A1840" t="s">
        <v>3342</v>
      </c>
      <c r="B1840" t="s">
        <v>3343</v>
      </c>
      <c r="C1840">
        <v>25711</v>
      </c>
    </row>
    <row r="1841" spans="1:3" x14ac:dyDescent="0.25">
      <c r="A1841" t="s">
        <v>3344</v>
      </c>
      <c r="B1841" t="s">
        <v>3343</v>
      </c>
      <c r="C1841">
        <v>24707</v>
      </c>
    </row>
    <row r="1842" spans="1:3" x14ac:dyDescent="0.25">
      <c r="A1842" t="s">
        <v>3345</v>
      </c>
      <c r="B1842" t="s">
        <v>3343</v>
      </c>
      <c r="C1842">
        <v>24708</v>
      </c>
    </row>
    <row r="1843" spans="1:3" x14ac:dyDescent="0.25">
      <c r="A1843" t="s">
        <v>3346</v>
      </c>
      <c r="B1843" t="s">
        <v>3347</v>
      </c>
      <c r="C1843">
        <v>24709</v>
      </c>
    </row>
    <row r="1844" spans="1:3" x14ac:dyDescent="0.25">
      <c r="A1844" t="s">
        <v>3348</v>
      </c>
      <c r="B1844" t="s">
        <v>3349</v>
      </c>
      <c r="C1844">
        <v>24710</v>
      </c>
    </row>
    <row r="1845" spans="1:3" x14ac:dyDescent="0.25">
      <c r="A1845" t="s">
        <v>3350</v>
      </c>
      <c r="B1845" t="s">
        <v>3351</v>
      </c>
      <c r="C1845">
        <v>24172</v>
      </c>
    </row>
    <row r="1846" spans="1:3" x14ac:dyDescent="0.25">
      <c r="A1846" t="s">
        <v>3352</v>
      </c>
      <c r="B1846" t="s">
        <v>3351</v>
      </c>
      <c r="C1846">
        <v>48086</v>
      </c>
    </row>
    <row r="1847" spans="1:3" x14ac:dyDescent="0.25">
      <c r="A1847" t="s">
        <v>3353</v>
      </c>
      <c r="B1847" t="s">
        <v>3354</v>
      </c>
      <c r="C1847">
        <v>24173</v>
      </c>
    </row>
    <row r="1848" spans="1:3" x14ac:dyDescent="0.25">
      <c r="A1848" t="s">
        <v>3355</v>
      </c>
      <c r="B1848" t="s">
        <v>3356</v>
      </c>
      <c r="C1848">
        <v>25588</v>
      </c>
    </row>
    <row r="1849" spans="1:3" x14ac:dyDescent="0.25">
      <c r="A1849" t="s">
        <v>3357</v>
      </c>
      <c r="B1849" t="s">
        <v>3356</v>
      </c>
      <c r="C1849">
        <v>30946</v>
      </c>
    </row>
    <row r="1850" spans="1:3" x14ac:dyDescent="0.25">
      <c r="A1850" t="s">
        <v>3358</v>
      </c>
      <c r="B1850" t="s">
        <v>3359</v>
      </c>
      <c r="C1850">
        <v>25724</v>
      </c>
    </row>
    <row r="1851" spans="1:3" x14ac:dyDescent="0.25">
      <c r="A1851" t="s">
        <v>3360</v>
      </c>
      <c r="B1851" t="s">
        <v>3361</v>
      </c>
      <c r="C1851">
        <v>24757</v>
      </c>
    </row>
    <row r="1852" spans="1:3" x14ac:dyDescent="0.25">
      <c r="A1852" t="s">
        <v>3362</v>
      </c>
      <c r="B1852" t="s">
        <v>3363</v>
      </c>
      <c r="C1852">
        <v>25725</v>
      </c>
    </row>
    <row r="1853" spans="1:3" x14ac:dyDescent="0.25">
      <c r="A1853" t="s">
        <v>3364</v>
      </c>
      <c r="B1853" t="s">
        <v>3363</v>
      </c>
      <c r="C1853">
        <v>24758</v>
      </c>
    </row>
    <row r="1854" spans="1:3" x14ac:dyDescent="0.25">
      <c r="A1854" t="s">
        <v>3365</v>
      </c>
      <c r="B1854" t="s">
        <v>3366</v>
      </c>
      <c r="C1854">
        <v>42321</v>
      </c>
    </row>
    <row r="1855" spans="1:3" x14ac:dyDescent="0.25">
      <c r="A1855" t="s">
        <v>3367</v>
      </c>
      <c r="B1855" t="s">
        <v>3366</v>
      </c>
      <c r="C1855">
        <v>42322</v>
      </c>
    </row>
    <row r="1856" spans="1:3" x14ac:dyDescent="0.25">
      <c r="A1856" t="s">
        <v>3368</v>
      </c>
      <c r="B1856" t="s">
        <v>3369</v>
      </c>
      <c r="C1856">
        <v>42323</v>
      </c>
    </row>
    <row r="1857" spans="1:4" x14ac:dyDescent="0.25">
      <c r="A1857" t="s">
        <v>3370</v>
      </c>
      <c r="B1857" t="s">
        <v>3371</v>
      </c>
      <c r="C1857">
        <v>48087</v>
      </c>
    </row>
    <row r="1858" spans="1:4" x14ac:dyDescent="0.25">
      <c r="A1858" t="s">
        <v>3372</v>
      </c>
      <c r="B1858" t="s">
        <v>3373</v>
      </c>
      <c r="C1858">
        <v>48088</v>
      </c>
    </row>
    <row r="1859" spans="1:4" x14ac:dyDescent="0.25">
      <c r="A1859" t="s">
        <v>3374</v>
      </c>
      <c r="B1859" t="s">
        <v>3375</v>
      </c>
      <c r="C1859">
        <v>48089</v>
      </c>
    </row>
    <row r="1860" spans="1:4" x14ac:dyDescent="0.25">
      <c r="A1860" t="s">
        <v>3376</v>
      </c>
      <c r="B1860" t="s">
        <v>3377</v>
      </c>
      <c r="C1860">
        <v>48090</v>
      </c>
    </row>
    <row r="1861" spans="1:4" x14ac:dyDescent="0.25">
      <c r="A1861" t="s">
        <v>3378</v>
      </c>
      <c r="B1861" t="s">
        <v>3379</v>
      </c>
      <c r="C1861">
        <v>25712</v>
      </c>
    </row>
    <row r="1862" spans="1:4" x14ac:dyDescent="0.25">
      <c r="A1862" t="s">
        <v>3380</v>
      </c>
      <c r="B1862" t="s">
        <v>3379</v>
      </c>
      <c r="C1862">
        <v>24711</v>
      </c>
    </row>
    <row r="1863" spans="1:4" x14ac:dyDescent="0.25">
      <c r="A1863" t="s">
        <v>3381</v>
      </c>
      <c r="B1863" t="s">
        <v>3379</v>
      </c>
      <c r="C1863">
        <v>48091</v>
      </c>
    </row>
    <row r="1864" spans="1:4" x14ac:dyDescent="0.25">
      <c r="A1864" t="s">
        <v>3382</v>
      </c>
      <c r="B1864" t="s">
        <v>3383</v>
      </c>
      <c r="C1864">
        <v>24713</v>
      </c>
    </row>
    <row r="1865" spans="1:4" x14ac:dyDescent="0.25">
      <c r="A1865" t="s">
        <v>3384</v>
      </c>
      <c r="B1865" t="s">
        <v>521</v>
      </c>
      <c r="C1865">
        <v>24714</v>
      </c>
      <c r="D1865" t="s">
        <v>267</v>
      </c>
    </row>
    <row r="1866" spans="1:4" x14ac:dyDescent="0.25">
      <c r="A1866" t="s">
        <v>3385</v>
      </c>
      <c r="B1866" t="s">
        <v>3386</v>
      </c>
      <c r="C1866">
        <v>24715</v>
      </c>
      <c r="D1866" t="s">
        <v>408</v>
      </c>
    </row>
    <row r="1867" spans="1:4" x14ac:dyDescent="0.25">
      <c r="A1867" t="s">
        <v>3387</v>
      </c>
      <c r="B1867" t="s">
        <v>523</v>
      </c>
      <c r="C1867">
        <v>24716</v>
      </c>
      <c r="D1867" t="s">
        <v>267</v>
      </c>
    </row>
    <row r="1868" spans="1:4" x14ac:dyDescent="0.25">
      <c r="A1868" t="s">
        <v>3388</v>
      </c>
      <c r="B1868" t="s">
        <v>3389</v>
      </c>
      <c r="C1868">
        <v>48092</v>
      </c>
    </row>
    <row r="1869" spans="1:4" x14ac:dyDescent="0.25">
      <c r="A1869" t="s">
        <v>3390</v>
      </c>
      <c r="B1869" t="s">
        <v>525</v>
      </c>
      <c r="C1869">
        <v>24717</v>
      </c>
      <c r="D1869" t="s">
        <v>267</v>
      </c>
    </row>
    <row r="1870" spans="1:4" x14ac:dyDescent="0.25">
      <c r="A1870" t="s">
        <v>3391</v>
      </c>
      <c r="B1870" t="s">
        <v>3392</v>
      </c>
      <c r="C1870">
        <v>42344</v>
      </c>
    </row>
    <row r="1871" spans="1:4" x14ac:dyDescent="0.25">
      <c r="A1871" t="s">
        <v>3393</v>
      </c>
      <c r="B1871" t="s">
        <v>3394</v>
      </c>
      <c r="C1871">
        <v>30947</v>
      </c>
    </row>
    <row r="1872" spans="1:4" x14ac:dyDescent="0.25">
      <c r="A1872" t="s">
        <v>3395</v>
      </c>
      <c r="B1872" t="s">
        <v>3394</v>
      </c>
      <c r="C1872">
        <v>30867</v>
      </c>
    </row>
    <row r="1873" spans="1:4" x14ac:dyDescent="0.25">
      <c r="A1873" t="s">
        <v>3396</v>
      </c>
      <c r="B1873" t="s">
        <v>3397</v>
      </c>
      <c r="C1873">
        <v>25008</v>
      </c>
    </row>
    <row r="1874" spans="1:4" x14ac:dyDescent="0.25">
      <c r="A1874" t="s">
        <v>3398</v>
      </c>
      <c r="C1874">
        <v>25009</v>
      </c>
    </row>
    <row r="1875" spans="1:4" x14ac:dyDescent="0.25">
      <c r="A1875" t="s">
        <v>3399</v>
      </c>
      <c r="C1875">
        <v>30822</v>
      </c>
    </row>
    <row r="1876" spans="1:4" x14ac:dyDescent="0.25">
      <c r="A1876" t="s">
        <v>3400</v>
      </c>
      <c r="B1876" t="s">
        <v>3401</v>
      </c>
      <c r="C1876">
        <v>24278</v>
      </c>
    </row>
    <row r="1877" spans="1:4" x14ac:dyDescent="0.25">
      <c r="A1877" t="s">
        <v>3402</v>
      </c>
      <c r="B1877" t="s">
        <v>3403</v>
      </c>
      <c r="C1877">
        <v>24772</v>
      </c>
    </row>
    <row r="1878" spans="1:4" x14ac:dyDescent="0.25">
      <c r="A1878" t="s">
        <v>3404</v>
      </c>
      <c r="B1878" t="s">
        <v>3405</v>
      </c>
      <c r="C1878">
        <v>24597</v>
      </c>
    </row>
    <row r="1879" spans="1:4" x14ac:dyDescent="0.25">
      <c r="A1879" t="s">
        <v>3406</v>
      </c>
      <c r="B1879" t="s">
        <v>3407</v>
      </c>
      <c r="C1879">
        <v>24242</v>
      </c>
    </row>
    <row r="1880" spans="1:4" x14ac:dyDescent="0.25">
      <c r="A1880" t="s">
        <v>3408</v>
      </c>
      <c r="B1880" t="s">
        <v>3409</v>
      </c>
      <c r="C1880">
        <v>24243</v>
      </c>
    </row>
    <row r="1881" spans="1:4" x14ac:dyDescent="0.25">
      <c r="A1881" t="s">
        <v>3410</v>
      </c>
      <c r="B1881" t="s">
        <v>3409</v>
      </c>
      <c r="C1881">
        <v>48093</v>
      </c>
    </row>
    <row r="1882" spans="1:4" x14ac:dyDescent="0.25">
      <c r="A1882" t="s">
        <v>3411</v>
      </c>
      <c r="B1882" t="s">
        <v>3412</v>
      </c>
      <c r="C1882">
        <v>24244</v>
      </c>
    </row>
    <row r="1883" spans="1:4" x14ac:dyDescent="0.25">
      <c r="A1883" t="s">
        <v>3413</v>
      </c>
      <c r="B1883" t="s">
        <v>3414</v>
      </c>
      <c r="C1883">
        <v>24245</v>
      </c>
    </row>
    <row r="1884" spans="1:4" x14ac:dyDescent="0.25">
      <c r="A1884" t="s">
        <v>3415</v>
      </c>
      <c r="B1884" t="s">
        <v>3416</v>
      </c>
      <c r="C1884">
        <v>24246</v>
      </c>
    </row>
    <row r="1885" spans="1:4" x14ac:dyDescent="0.25">
      <c r="A1885" t="s">
        <v>3417</v>
      </c>
      <c r="B1885" t="s">
        <v>3416</v>
      </c>
      <c r="C1885">
        <v>48094</v>
      </c>
    </row>
    <row r="1886" spans="1:4" x14ac:dyDescent="0.25">
      <c r="A1886" t="s">
        <v>3418</v>
      </c>
      <c r="B1886" t="s">
        <v>3419</v>
      </c>
      <c r="C1886">
        <v>24247</v>
      </c>
    </row>
    <row r="1887" spans="1:4" x14ac:dyDescent="0.25">
      <c r="A1887" t="s">
        <v>3420</v>
      </c>
      <c r="B1887" t="s">
        <v>3421</v>
      </c>
      <c r="C1887">
        <v>24776</v>
      </c>
    </row>
    <row r="1888" spans="1:4" x14ac:dyDescent="0.25">
      <c r="A1888" t="s">
        <v>3422</v>
      </c>
      <c r="B1888" t="s">
        <v>3423</v>
      </c>
      <c r="C1888">
        <v>34094</v>
      </c>
      <c r="D1888" t="s">
        <v>319</v>
      </c>
    </row>
    <row r="1889" spans="1:4" x14ac:dyDescent="0.25">
      <c r="A1889" t="s">
        <v>3424</v>
      </c>
      <c r="B1889" t="s">
        <v>3425</v>
      </c>
      <c r="C1889">
        <v>34095</v>
      </c>
      <c r="D1889" t="s">
        <v>252</v>
      </c>
    </row>
    <row r="1890" spans="1:4" x14ac:dyDescent="0.25">
      <c r="A1890" t="s">
        <v>3426</v>
      </c>
      <c r="B1890" t="s">
        <v>3427</v>
      </c>
      <c r="C1890">
        <v>42358</v>
      </c>
      <c r="D1890" t="s">
        <v>491</v>
      </c>
    </row>
    <row r="1891" spans="1:4" x14ac:dyDescent="0.25">
      <c r="A1891" t="s">
        <v>3428</v>
      </c>
      <c r="B1891" t="s">
        <v>3429</v>
      </c>
      <c r="C1891">
        <v>42301</v>
      </c>
    </row>
    <row r="1892" spans="1:4" x14ac:dyDescent="0.25">
      <c r="A1892" t="s">
        <v>3430</v>
      </c>
      <c r="B1892" t="s">
        <v>3431</v>
      </c>
      <c r="C1892">
        <v>43368</v>
      </c>
      <c r="D1892" t="s">
        <v>278</v>
      </c>
    </row>
    <row r="1893" spans="1:4" x14ac:dyDescent="0.25">
      <c r="A1893" t="s">
        <v>3432</v>
      </c>
      <c r="B1893" t="s">
        <v>3433</v>
      </c>
      <c r="C1893">
        <v>48095</v>
      </c>
      <c r="D1893" t="s">
        <v>211</v>
      </c>
    </row>
    <row r="1894" spans="1:4" x14ac:dyDescent="0.25">
      <c r="A1894" t="s">
        <v>3434</v>
      </c>
      <c r="B1894" t="s">
        <v>3435</v>
      </c>
      <c r="C1894">
        <v>30818</v>
      </c>
    </row>
    <row r="1895" spans="1:4" x14ac:dyDescent="0.25">
      <c r="A1895" t="s">
        <v>3436</v>
      </c>
      <c r="B1895" t="s">
        <v>3437</v>
      </c>
      <c r="C1895">
        <v>48096</v>
      </c>
    </row>
    <row r="1896" spans="1:4" x14ac:dyDescent="0.25">
      <c r="A1896" t="s">
        <v>3438</v>
      </c>
      <c r="B1896" t="s">
        <v>3439</v>
      </c>
      <c r="C1896">
        <v>48097</v>
      </c>
    </row>
    <row r="1897" spans="1:4" x14ac:dyDescent="0.25">
      <c r="A1897" t="s">
        <v>3440</v>
      </c>
      <c r="B1897" t="s">
        <v>3437</v>
      </c>
      <c r="C1897">
        <v>48098</v>
      </c>
    </row>
    <row r="1898" spans="1:4" x14ac:dyDescent="0.25">
      <c r="A1898" t="s">
        <v>3441</v>
      </c>
      <c r="B1898" t="s">
        <v>3437</v>
      </c>
      <c r="C1898">
        <v>48099</v>
      </c>
    </row>
    <row r="1899" spans="1:4" x14ac:dyDescent="0.25">
      <c r="A1899" t="s">
        <v>3442</v>
      </c>
      <c r="B1899" t="s">
        <v>3443</v>
      </c>
      <c r="C1899">
        <v>25615</v>
      </c>
    </row>
    <row r="1900" spans="1:4" x14ac:dyDescent="0.25">
      <c r="A1900" t="s">
        <v>3444</v>
      </c>
      <c r="B1900" t="s">
        <v>3443</v>
      </c>
      <c r="C1900">
        <v>24455</v>
      </c>
    </row>
    <row r="1901" spans="1:4" x14ac:dyDescent="0.25">
      <c r="A1901" t="s">
        <v>3445</v>
      </c>
      <c r="B1901" t="s">
        <v>3443</v>
      </c>
      <c r="C1901">
        <v>42345</v>
      </c>
    </row>
    <row r="1902" spans="1:4" x14ac:dyDescent="0.25">
      <c r="A1902" t="s">
        <v>3446</v>
      </c>
      <c r="B1902" t="s">
        <v>3447</v>
      </c>
      <c r="C1902">
        <v>25614</v>
      </c>
    </row>
    <row r="1903" spans="1:4" x14ac:dyDescent="0.25">
      <c r="A1903" t="s">
        <v>3448</v>
      </c>
      <c r="B1903" t="s">
        <v>3447</v>
      </c>
      <c r="C1903">
        <v>24454</v>
      </c>
    </row>
    <row r="1904" spans="1:4" x14ac:dyDescent="0.25">
      <c r="A1904" t="s">
        <v>3449</v>
      </c>
      <c r="B1904" t="s">
        <v>3450</v>
      </c>
      <c r="C1904">
        <v>24457</v>
      </c>
    </row>
    <row r="1905" spans="1:4" x14ac:dyDescent="0.25">
      <c r="A1905" t="s">
        <v>3451</v>
      </c>
      <c r="B1905" t="s">
        <v>3452</v>
      </c>
      <c r="C1905">
        <v>25616</v>
      </c>
    </row>
    <row r="1906" spans="1:4" x14ac:dyDescent="0.25">
      <c r="A1906" t="s">
        <v>3453</v>
      </c>
      <c r="B1906" t="s">
        <v>3452</v>
      </c>
      <c r="C1906">
        <v>24456</v>
      </c>
    </row>
    <row r="1907" spans="1:4" x14ac:dyDescent="0.25">
      <c r="A1907" t="s">
        <v>3454</v>
      </c>
      <c r="B1907" t="s">
        <v>3455</v>
      </c>
      <c r="C1907">
        <v>24982</v>
      </c>
    </row>
    <row r="1908" spans="1:4" x14ac:dyDescent="0.25">
      <c r="A1908" t="s">
        <v>3456</v>
      </c>
      <c r="B1908" t="s">
        <v>3457</v>
      </c>
      <c r="C1908">
        <v>41425</v>
      </c>
    </row>
    <row r="1909" spans="1:4" x14ac:dyDescent="0.25">
      <c r="A1909" t="s">
        <v>3458</v>
      </c>
      <c r="B1909" t="s">
        <v>3459</v>
      </c>
      <c r="C1909">
        <v>48598</v>
      </c>
      <c r="D1909" t="s">
        <v>281</v>
      </c>
    </row>
    <row r="1910" spans="1:4" x14ac:dyDescent="0.25">
      <c r="A1910" t="s">
        <v>3460</v>
      </c>
      <c r="B1910" t="s">
        <v>3461</v>
      </c>
      <c r="C1910">
        <v>48237</v>
      </c>
      <c r="D1910" t="s">
        <v>408</v>
      </c>
    </row>
    <row r="1911" spans="1:4" x14ac:dyDescent="0.25">
      <c r="A1911" t="s">
        <v>3462</v>
      </c>
      <c r="B1911" t="s">
        <v>3463</v>
      </c>
      <c r="C1911">
        <v>25735</v>
      </c>
    </row>
    <row r="1912" spans="1:4" x14ac:dyDescent="0.25">
      <c r="A1912" t="s">
        <v>3464</v>
      </c>
      <c r="B1912" t="s">
        <v>3465</v>
      </c>
      <c r="C1912">
        <v>24174</v>
      </c>
    </row>
    <row r="1913" spans="1:4" x14ac:dyDescent="0.25">
      <c r="A1913" t="s">
        <v>3466</v>
      </c>
      <c r="B1913" t="s">
        <v>3467</v>
      </c>
      <c r="C1913">
        <v>48100</v>
      </c>
    </row>
    <row r="1914" spans="1:4" x14ac:dyDescent="0.25">
      <c r="A1914" t="s">
        <v>3468</v>
      </c>
      <c r="B1914" t="s">
        <v>3469</v>
      </c>
      <c r="C1914">
        <v>48101</v>
      </c>
      <c r="D1914" t="s">
        <v>231</v>
      </c>
    </row>
    <row r="1915" spans="1:4" x14ac:dyDescent="0.25">
      <c r="A1915" t="s">
        <v>3470</v>
      </c>
      <c r="B1915" t="s">
        <v>3471</v>
      </c>
      <c r="C1915">
        <v>24199</v>
      </c>
    </row>
    <row r="1916" spans="1:4" x14ac:dyDescent="0.25">
      <c r="A1916" t="s">
        <v>3472</v>
      </c>
      <c r="B1916" t="s">
        <v>3473</v>
      </c>
      <c r="C1916">
        <v>24200</v>
      </c>
    </row>
    <row r="1917" spans="1:4" x14ac:dyDescent="0.25">
      <c r="A1917" t="s">
        <v>3474</v>
      </c>
      <c r="B1917" t="s">
        <v>3475</v>
      </c>
      <c r="C1917">
        <v>24201</v>
      </c>
    </row>
    <row r="1918" spans="1:4" x14ac:dyDescent="0.25">
      <c r="A1918" t="s">
        <v>3476</v>
      </c>
      <c r="B1918" t="s">
        <v>3477</v>
      </c>
      <c r="C1918">
        <v>25605</v>
      </c>
    </row>
    <row r="1919" spans="1:4" x14ac:dyDescent="0.25">
      <c r="A1919" t="s">
        <v>3478</v>
      </c>
      <c r="B1919" t="s">
        <v>3477</v>
      </c>
      <c r="C1919">
        <v>24438</v>
      </c>
    </row>
    <row r="1920" spans="1:4" x14ac:dyDescent="0.25">
      <c r="A1920" t="s">
        <v>3479</v>
      </c>
      <c r="B1920" t="s">
        <v>3480</v>
      </c>
      <c r="C1920">
        <v>25534</v>
      </c>
    </row>
    <row r="1921" spans="1:4" x14ac:dyDescent="0.25">
      <c r="A1921" t="s">
        <v>3481</v>
      </c>
      <c r="B1921" t="s">
        <v>3480</v>
      </c>
      <c r="C1921">
        <v>24280</v>
      </c>
    </row>
    <row r="1922" spans="1:4" x14ac:dyDescent="0.25">
      <c r="A1922" t="s">
        <v>3482</v>
      </c>
      <c r="B1922" t="s">
        <v>3480</v>
      </c>
      <c r="C1922">
        <v>24279</v>
      </c>
    </row>
    <row r="1923" spans="1:4" x14ac:dyDescent="0.25">
      <c r="A1923" t="s">
        <v>3483</v>
      </c>
      <c r="B1923" t="s">
        <v>3484</v>
      </c>
      <c r="C1923">
        <v>24145</v>
      </c>
      <c r="D1923" t="s">
        <v>211</v>
      </c>
    </row>
    <row r="1924" spans="1:4" x14ac:dyDescent="0.25">
      <c r="A1924" t="s">
        <v>3485</v>
      </c>
      <c r="B1924" t="s">
        <v>3486</v>
      </c>
      <c r="C1924">
        <v>25305</v>
      </c>
    </row>
    <row r="1925" spans="1:4" x14ac:dyDescent="0.25">
      <c r="A1925" t="s">
        <v>3487</v>
      </c>
      <c r="B1925" t="s">
        <v>3488</v>
      </c>
      <c r="C1925">
        <v>25266</v>
      </c>
    </row>
    <row r="1926" spans="1:4" x14ac:dyDescent="0.25">
      <c r="A1926" t="s">
        <v>3489</v>
      </c>
      <c r="B1926" t="s">
        <v>3490</v>
      </c>
      <c r="C1926">
        <v>25267</v>
      </c>
    </row>
    <row r="1927" spans="1:4" x14ac:dyDescent="0.25">
      <c r="A1927" t="s">
        <v>3491</v>
      </c>
      <c r="B1927" t="s">
        <v>3492</v>
      </c>
      <c r="C1927">
        <v>25268</v>
      </c>
      <c r="D1927" t="s">
        <v>252</v>
      </c>
    </row>
    <row r="1928" spans="1:4" x14ac:dyDescent="0.25">
      <c r="A1928" t="s">
        <v>3493</v>
      </c>
      <c r="B1928" t="s">
        <v>3494</v>
      </c>
      <c r="C1928">
        <v>30948</v>
      </c>
    </row>
    <row r="1929" spans="1:4" x14ac:dyDescent="0.25">
      <c r="A1929" t="s">
        <v>3495</v>
      </c>
      <c r="B1929" t="s">
        <v>3496</v>
      </c>
      <c r="C1929">
        <v>24107</v>
      </c>
      <c r="D1929" t="s">
        <v>211</v>
      </c>
    </row>
    <row r="1930" spans="1:4" x14ac:dyDescent="0.25">
      <c r="A1930" t="s">
        <v>3497</v>
      </c>
      <c r="B1930" t="s">
        <v>3498</v>
      </c>
      <c r="C1930">
        <v>24108</v>
      </c>
    </row>
    <row r="1931" spans="1:4" x14ac:dyDescent="0.25">
      <c r="A1931" t="s">
        <v>3499</v>
      </c>
      <c r="B1931" t="s">
        <v>3500</v>
      </c>
      <c r="C1931">
        <v>24109</v>
      </c>
    </row>
    <row r="1932" spans="1:4" x14ac:dyDescent="0.25">
      <c r="A1932" t="s">
        <v>3501</v>
      </c>
      <c r="B1932" t="s">
        <v>3502</v>
      </c>
      <c r="C1932">
        <v>48104</v>
      </c>
    </row>
    <row r="1933" spans="1:4" x14ac:dyDescent="0.25">
      <c r="A1933" t="s">
        <v>3503</v>
      </c>
      <c r="B1933" t="s">
        <v>3504</v>
      </c>
      <c r="C1933">
        <v>24111</v>
      </c>
    </row>
    <row r="1934" spans="1:4" x14ac:dyDescent="0.25">
      <c r="A1934" t="s">
        <v>3505</v>
      </c>
      <c r="B1934" t="s">
        <v>3506</v>
      </c>
      <c r="C1934">
        <v>24112</v>
      </c>
    </row>
    <row r="1935" spans="1:4" x14ac:dyDescent="0.25">
      <c r="A1935" t="s">
        <v>3507</v>
      </c>
      <c r="B1935" t="s">
        <v>3508</v>
      </c>
      <c r="C1935">
        <v>25515</v>
      </c>
    </row>
    <row r="1936" spans="1:4" x14ac:dyDescent="0.25">
      <c r="A1936" t="s">
        <v>3509</v>
      </c>
      <c r="B1936" t="s">
        <v>3510</v>
      </c>
      <c r="C1936">
        <v>24114</v>
      </c>
    </row>
    <row r="1937" spans="1:4" x14ac:dyDescent="0.25">
      <c r="A1937" t="s">
        <v>3511</v>
      </c>
      <c r="B1937" t="s">
        <v>3512</v>
      </c>
      <c r="C1937">
        <v>24115</v>
      </c>
      <c r="D1937" t="s">
        <v>278</v>
      </c>
    </row>
    <row r="1938" spans="1:4" x14ac:dyDescent="0.25">
      <c r="A1938" t="s">
        <v>3513</v>
      </c>
      <c r="B1938" t="s">
        <v>3514</v>
      </c>
      <c r="C1938">
        <v>24116</v>
      </c>
    </row>
    <row r="1939" spans="1:4" x14ac:dyDescent="0.25">
      <c r="A1939" t="s">
        <v>3515</v>
      </c>
      <c r="B1939" t="s">
        <v>3516</v>
      </c>
      <c r="C1939">
        <v>48105</v>
      </c>
    </row>
    <row r="1940" spans="1:4" x14ac:dyDescent="0.25">
      <c r="A1940" t="s">
        <v>3517</v>
      </c>
      <c r="B1940" t="s">
        <v>3518</v>
      </c>
      <c r="C1940">
        <v>48106</v>
      </c>
    </row>
    <row r="1941" spans="1:4" x14ac:dyDescent="0.25">
      <c r="A1941" t="s">
        <v>3519</v>
      </c>
      <c r="B1941" t="s">
        <v>3520</v>
      </c>
      <c r="C1941">
        <v>24117</v>
      </c>
    </row>
    <row r="1942" spans="1:4" x14ac:dyDescent="0.25">
      <c r="A1942" t="s">
        <v>3521</v>
      </c>
      <c r="B1942" t="s">
        <v>3522</v>
      </c>
      <c r="C1942">
        <v>24118</v>
      </c>
      <c r="D1942" t="s">
        <v>408</v>
      </c>
    </row>
    <row r="1943" spans="1:4" x14ac:dyDescent="0.25">
      <c r="A1943" t="s">
        <v>3523</v>
      </c>
      <c r="B1943" t="s">
        <v>3524</v>
      </c>
      <c r="C1943">
        <v>24119</v>
      </c>
    </row>
    <row r="1944" spans="1:4" x14ac:dyDescent="0.25">
      <c r="A1944" t="s">
        <v>3525</v>
      </c>
      <c r="B1944" t="s">
        <v>3526</v>
      </c>
      <c r="C1944">
        <v>24120</v>
      </c>
    </row>
    <row r="1945" spans="1:4" x14ac:dyDescent="0.25">
      <c r="A1945" t="s">
        <v>3527</v>
      </c>
      <c r="B1945" t="s">
        <v>3528</v>
      </c>
      <c r="C1945">
        <v>48107</v>
      </c>
      <c r="D1945" t="s">
        <v>278</v>
      </c>
    </row>
    <row r="1946" spans="1:4" x14ac:dyDescent="0.25">
      <c r="A1946" t="s">
        <v>3529</v>
      </c>
      <c r="B1946" t="s">
        <v>723</v>
      </c>
      <c r="C1946">
        <v>33961</v>
      </c>
      <c r="D1946" t="s">
        <v>281</v>
      </c>
    </row>
    <row r="1947" spans="1:4" x14ac:dyDescent="0.25">
      <c r="A1947" t="s">
        <v>3530</v>
      </c>
      <c r="B1947" t="s">
        <v>3531</v>
      </c>
      <c r="C1947">
        <v>33966</v>
      </c>
      <c r="D1947" t="s">
        <v>211</v>
      </c>
    </row>
    <row r="1948" spans="1:4" x14ac:dyDescent="0.25">
      <c r="A1948" t="s">
        <v>3532</v>
      </c>
      <c r="B1948" t="s">
        <v>3533</v>
      </c>
      <c r="C1948">
        <v>48108</v>
      </c>
    </row>
    <row r="1949" spans="1:4" x14ac:dyDescent="0.25">
      <c r="A1949" t="s">
        <v>3534</v>
      </c>
      <c r="B1949" t="s">
        <v>3535</v>
      </c>
      <c r="C1949">
        <v>48109</v>
      </c>
    </row>
    <row r="1950" spans="1:4" x14ac:dyDescent="0.25">
      <c r="A1950" t="s">
        <v>3536</v>
      </c>
      <c r="B1950" t="s">
        <v>3537</v>
      </c>
      <c r="C1950">
        <v>25435</v>
      </c>
      <c r="D1950" t="s">
        <v>211</v>
      </c>
    </row>
    <row r="1951" spans="1:4" x14ac:dyDescent="0.25">
      <c r="A1951" t="s">
        <v>3538</v>
      </c>
      <c r="B1951" t="s">
        <v>3539</v>
      </c>
      <c r="C1951">
        <v>24645</v>
      </c>
    </row>
    <row r="1952" spans="1:4" x14ac:dyDescent="0.25">
      <c r="A1952" t="s">
        <v>3540</v>
      </c>
      <c r="B1952" t="s">
        <v>3541</v>
      </c>
      <c r="C1952">
        <v>48111</v>
      </c>
    </row>
    <row r="1953" spans="1:4" x14ac:dyDescent="0.25">
      <c r="A1953" t="s">
        <v>3542</v>
      </c>
      <c r="B1953" t="s">
        <v>3541</v>
      </c>
      <c r="C1953">
        <v>48112</v>
      </c>
    </row>
    <row r="1954" spans="1:4" x14ac:dyDescent="0.25">
      <c r="A1954" t="s">
        <v>3543</v>
      </c>
      <c r="B1954" t="s">
        <v>3544</v>
      </c>
      <c r="C1954">
        <v>48113</v>
      </c>
    </row>
    <row r="1955" spans="1:4" x14ac:dyDescent="0.25">
      <c r="A1955" t="s">
        <v>3545</v>
      </c>
      <c r="B1955" t="s">
        <v>3546</v>
      </c>
      <c r="C1955">
        <v>48114</v>
      </c>
      <c r="D1955" t="s">
        <v>278</v>
      </c>
    </row>
    <row r="1956" spans="1:4" x14ac:dyDescent="0.25">
      <c r="A1956" t="s">
        <v>3547</v>
      </c>
      <c r="B1956" t="s">
        <v>3548</v>
      </c>
      <c r="C1956">
        <v>48115</v>
      </c>
      <c r="D1956" t="s">
        <v>278</v>
      </c>
    </row>
    <row r="1957" spans="1:4" x14ac:dyDescent="0.25">
      <c r="A1957" t="s">
        <v>3549</v>
      </c>
      <c r="B1957" t="s">
        <v>3550</v>
      </c>
      <c r="C1957">
        <v>24068</v>
      </c>
    </row>
    <row r="1958" spans="1:4" x14ac:dyDescent="0.25">
      <c r="A1958" t="s">
        <v>3551</v>
      </c>
      <c r="B1958" t="s">
        <v>3552</v>
      </c>
      <c r="C1958">
        <v>48116</v>
      </c>
      <c r="D1958" t="s">
        <v>278</v>
      </c>
    </row>
    <row r="1959" spans="1:4" x14ac:dyDescent="0.25">
      <c r="A1959" t="s">
        <v>3553</v>
      </c>
      <c r="B1959" t="s">
        <v>3552</v>
      </c>
      <c r="C1959">
        <v>48117</v>
      </c>
      <c r="D1959" t="s">
        <v>278</v>
      </c>
    </row>
    <row r="1960" spans="1:4" x14ac:dyDescent="0.25">
      <c r="A1960" t="s">
        <v>3554</v>
      </c>
      <c r="B1960" t="s">
        <v>3555</v>
      </c>
      <c r="C1960">
        <v>24516</v>
      </c>
      <c r="D1960" t="s">
        <v>267</v>
      </c>
    </row>
    <row r="1961" spans="1:4" x14ac:dyDescent="0.25">
      <c r="A1961" t="s">
        <v>3556</v>
      </c>
      <c r="B1961" t="s">
        <v>3557</v>
      </c>
      <c r="C1961">
        <v>48118</v>
      </c>
      <c r="D1961" t="s">
        <v>267</v>
      </c>
    </row>
    <row r="1962" spans="1:4" x14ac:dyDescent="0.25">
      <c r="A1962" t="s">
        <v>3558</v>
      </c>
      <c r="B1962" t="s">
        <v>3559</v>
      </c>
      <c r="C1962">
        <v>24517</v>
      </c>
      <c r="D1962" t="s">
        <v>267</v>
      </c>
    </row>
    <row r="1963" spans="1:4" x14ac:dyDescent="0.25">
      <c r="A1963" t="s">
        <v>3560</v>
      </c>
      <c r="B1963" t="s">
        <v>3561</v>
      </c>
      <c r="C1963">
        <v>24518</v>
      </c>
      <c r="D1963" t="s">
        <v>267</v>
      </c>
    </row>
    <row r="1964" spans="1:4" x14ac:dyDescent="0.25">
      <c r="A1964" t="s">
        <v>3562</v>
      </c>
      <c r="B1964" t="s">
        <v>3563</v>
      </c>
      <c r="C1964">
        <v>24521</v>
      </c>
    </row>
    <row r="1965" spans="1:4" x14ac:dyDescent="0.25">
      <c r="A1965" t="s">
        <v>3564</v>
      </c>
      <c r="B1965" t="s">
        <v>3565</v>
      </c>
      <c r="C1965">
        <v>24522</v>
      </c>
    </row>
    <row r="1966" spans="1:4" x14ac:dyDescent="0.25">
      <c r="A1966" t="s">
        <v>3566</v>
      </c>
      <c r="B1966" t="s">
        <v>3567</v>
      </c>
      <c r="C1966">
        <v>48121</v>
      </c>
    </row>
    <row r="1967" spans="1:4" x14ac:dyDescent="0.25">
      <c r="A1967" t="s">
        <v>3568</v>
      </c>
      <c r="B1967" t="s">
        <v>3569</v>
      </c>
      <c r="C1967">
        <v>25640</v>
      </c>
      <c r="D1967" t="s">
        <v>267</v>
      </c>
    </row>
    <row r="1968" spans="1:4" x14ac:dyDescent="0.25">
      <c r="A1968" t="s">
        <v>3570</v>
      </c>
      <c r="B1968" t="s">
        <v>3569</v>
      </c>
      <c r="C1968">
        <v>30852</v>
      </c>
      <c r="D1968" t="s">
        <v>267</v>
      </c>
    </row>
    <row r="1969" spans="1:4" x14ac:dyDescent="0.25">
      <c r="A1969" t="s">
        <v>3571</v>
      </c>
      <c r="B1969" t="s">
        <v>3569</v>
      </c>
      <c r="C1969">
        <v>24524</v>
      </c>
      <c r="D1969" t="s">
        <v>267</v>
      </c>
    </row>
    <row r="1970" spans="1:4" x14ac:dyDescent="0.25">
      <c r="A1970" t="s">
        <v>3572</v>
      </c>
      <c r="B1970" t="s">
        <v>3573</v>
      </c>
      <c r="C1970">
        <v>25641</v>
      </c>
    </row>
    <row r="1971" spans="1:4" x14ac:dyDescent="0.25">
      <c r="A1971" t="s">
        <v>3574</v>
      </c>
      <c r="B1971" t="s">
        <v>3573</v>
      </c>
      <c r="C1971">
        <v>24525</v>
      </c>
    </row>
    <row r="1972" spans="1:4" x14ac:dyDescent="0.25">
      <c r="A1972" t="s">
        <v>3575</v>
      </c>
      <c r="B1972" t="s">
        <v>3576</v>
      </c>
      <c r="C1972">
        <v>25642</v>
      </c>
      <c r="D1972" t="s">
        <v>267</v>
      </c>
    </row>
    <row r="1973" spans="1:4" x14ac:dyDescent="0.25">
      <c r="A1973" t="s">
        <v>3577</v>
      </c>
      <c r="B1973" t="s">
        <v>3576</v>
      </c>
      <c r="C1973">
        <v>24526</v>
      </c>
      <c r="D1973" t="s">
        <v>267</v>
      </c>
    </row>
    <row r="1974" spans="1:4" x14ac:dyDescent="0.25">
      <c r="A1974" t="s">
        <v>3578</v>
      </c>
      <c r="B1974" t="s">
        <v>3576</v>
      </c>
      <c r="C1974">
        <v>24527</v>
      </c>
      <c r="D1974" t="s">
        <v>267</v>
      </c>
    </row>
    <row r="1975" spans="1:4" x14ac:dyDescent="0.25">
      <c r="A1975" t="s">
        <v>3579</v>
      </c>
      <c r="B1975" t="s">
        <v>3580</v>
      </c>
      <c r="C1975">
        <v>25643</v>
      </c>
    </row>
    <row r="1976" spans="1:4" x14ac:dyDescent="0.25">
      <c r="A1976" t="s">
        <v>3581</v>
      </c>
      <c r="B1976" t="s">
        <v>3580</v>
      </c>
      <c r="C1976">
        <v>24528</v>
      </c>
    </row>
    <row r="1977" spans="1:4" x14ac:dyDescent="0.25">
      <c r="A1977" t="s">
        <v>3582</v>
      </c>
      <c r="B1977" t="s">
        <v>3583</v>
      </c>
      <c r="C1977">
        <v>24533</v>
      </c>
    </row>
    <row r="1978" spans="1:4" x14ac:dyDescent="0.25">
      <c r="A1978" t="s">
        <v>3584</v>
      </c>
      <c r="B1978" t="s">
        <v>3585</v>
      </c>
      <c r="C1978">
        <v>24534</v>
      </c>
    </row>
    <row r="1979" spans="1:4" x14ac:dyDescent="0.25">
      <c r="A1979" t="s">
        <v>3586</v>
      </c>
      <c r="B1979" t="s">
        <v>3587</v>
      </c>
      <c r="C1979">
        <v>24535</v>
      </c>
      <c r="D1979" t="s">
        <v>267</v>
      </c>
    </row>
    <row r="1980" spans="1:4" x14ac:dyDescent="0.25">
      <c r="A1980" t="s">
        <v>3588</v>
      </c>
      <c r="B1980" t="s">
        <v>3589</v>
      </c>
      <c r="C1980">
        <v>24536</v>
      </c>
    </row>
    <row r="1981" spans="1:4" x14ac:dyDescent="0.25">
      <c r="A1981" t="s">
        <v>3590</v>
      </c>
      <c r="B1981" t="s">
        <v>3591</v>
      </c>
      <c r="C1981">
        <v>48593</v>
      </c>
      <c r="D1981" t="s">
        <v>267</v>
      </c>
    </row>
    <row r="1982" spans="1:4" x14ac:dyDescent="0.25">
      <c r="A1982" t="s">
        <v>3592</v>
      </c>
      <c r="B1982" t="s">
        <v>3593</v>
      </c>
      <c r="C1982">
        <v>48594</v>
      </c>
    </row>
    <row r="1983" spans="1:4" x14ac:dyDescent="0.25">
      <c r="A1983" t="s">
        <v>3594</v>
      </c>
      <c r="B1983" t="s">
        <v>3593</v>
      </c>
      <c r="C1983">
        <v>48595</v>
      </c>
      <c r="D1983" t="s">
        <v>211</v>
      </c>
    </row>
    <row r="1984" spans="1:4" x14ac:dyDescent="0.25">
      <c r="A1984" t="s">
        <v>3595</v>
      </c>
      <c r="B1984" t="s">
        <v>3596</v>
      </c>
      <c r="C1984">
        <v>24329</v>
      </c>
    </row>
    <row r="1985" spans="1:4" x14ac:dyDescent="0.25">
      <c r="A1985" t="s">
        <v>3597</v>
      </c>
      <c r="B1985" t="s">
        <v>3598</v>
      </c>
      <c r="C1985">
        <v>24482</v>
      </c>
    </row>
    <row r="1986" spans="1:4" x14ac:dyDescent="0.25">
      <c r="A1986" t="s">
        <v>3599</v>
      </c>
      <c r="B1986" t="s">
        <v>3600</v>
      </c>
      <c r="C1986">
        <v>25655</v>
      </c>
    </row>
    <row r="1987" spans="1:4" x14ac:dyDescent="0.25">
      <c r="A1987" t="s">
        <v>3601</v>
      </c>
      <c r="B1987" t="s">
        <v>3602</v>
      </c>
      <c r="C1987">
        <v>24555</v>
      </c>
      <c r="D1987" t="s">
        <v>211</v>
      </c>
    </row>
    <row r="1988" spans="1:4" x14ac:dyDescent="0.25">
      <c r="A1988" t="s">
        <v>3603</v>
      </c>
      <c r="B1988" t="s">
        <v>3600</v>
      </c>
      <c r="C1988">
        <v>24554</v>
      </c>
    </row>
    <row r="1989" spans="1:4" x14ac:dyDescent="0.25">
      <c r="A1989" t="s">
        <v>3604</v>
      </c>
      <c r="B1989" t="s">
        <v>3605</v>
      </c>
      <c r="C1989">
        <v>25656</v>
      </c>
    </row>
    <row r="1990" spans="1:4" x14ac:dyDescent="0.25">
      <c r="A1990" t="s">
        <v>3606</v>
      </c>
      <c r="B1990" t="s">
        <v>3605</v>
      </c>
      <c r="C1990">
        <v>24556</v>
      </c>
    </row>
    <row r="1991" spans="1:4" x14ac:dyDescent="0.25">
      <c r="A1991" t="s">
        <v>3607</v>
      </c>
      <c r="B1991" t="s">
        <v>3608</v>
      </c>
      <c r="C1991">
        <v>42347</v>
      </c>
    </row>
    <row r="1992" spans="1:4" x14ac:dyDescent="0.25">
      <c r="A1992" t="s">
        <v>3609</v>
      </c>
      <c r="B1992" t="s">
        <v>3608</v>
      </c>
      <c r="C1992">
        <v>42348</v>
      </c>
    </row>
    <row r="1993" spans="1:4" x14ac:dyDescent="0.25">
      <c r="A1993" t="s">
        <v>3610</v>
      </c>
      <c r="B1993" t="s">
        <v>3611</v>
      </c>
      <c r="C1993">
        <v>25597</v>
      </c>
    </row>
    <row r="1994" spans="1:4" x14ac:dyDescent="0.25">
      <c r="A1994" t="s">
        <v>3612</v>
      </c>
      <c r="B1994" t="s">
        <v>3611</v>
      </c>
      <c r="C1994">
        <v>24426</v>
      </c>
    </row>
    <row r="1995" spans="1:4" x14ac:dyDescent="0.25">
      <c r="A1995" t="s">
        <v>3613</v>
      </c>
      <c r="B1995" t="s">
        <v>3614</v>
      </c>
      <c r="C1995">
        <v>25589</v>
      </c>
    </row>
    <row r="1996" spans="1:4" x14ac:dyDescent="0.25">
      <c r="A1996" t="s">
        <v>3615</v>
      </c>
      <c r="B1996" t="s">
        <v>3614</v>
      </c>
      <c r="C1996">
        <v>30951</v>
      </c>
    </row>
    <row r="1997" spans="1:4" x14ac:dyDescent="0.25">
      <c r="A1997" t="s">
        <v>3616</v>
      </c>
      <c r="B1997" t="s">
        <v>3617</v>
      </c>
      <c r="C1997">
        <v>25590</v>
      </c>
    </row>
    <row r="1998" spans="1:4" x14ac:dyDescent="0.25">
      <c r="A1998" t="s">
        <v>3618</v>
      </c>
      <c r="B1998" t="s">
        <v>3617</v>
      </c>
      <c r="C1998">
        <v>30950</v>
      </c>
    </row>
    <row r="1999" spans="1:4" x14ac:dyDescent="0.25">
      <c r="A1999" t="s">
        <v>3619</v>
      </c>
      <c r="B1999" t="s">
        <v>3620</v>
      </c>
      <c r="C1999">
        <v>24923</v>
      </c>
    </row>
    <row r="2000" spans="1:4" x14ac:dyDescent="0.25">
      <c r="A2000" t="s">
        <v>3621</v>
      </c>
      <c r="C2000">
        <v>25517</v>
      </c>
    </row>
    <row r="2001" spans="1:3" x14ac:dyDescent="0.25">
      <c r="A2001" t="s">
        <v>3622</v>
      </c>
      <c r="C2001">
        <v>24924</v>
      </c>
    </row>
    <row r="2002" spans="1:3" x14ac:dyDescent="0.25">
      <c r="A2002" t="s">
        <v>3623</v>
      </c>
      <c r="C2002">
        <v>24925</v>
      </c>
    </row>
    <row r="2003" spans="1:3" x14ac:dyDescent="0.25">
      <c r="A2003" t="s">
        <v>3624</v>
      </c>
      <c r="C2003">
        <v>24927</v>
      </c>
    </row>
    <row r="2004" spans="1:3" x14ac:dyDescent="0.25">
      <c r="A2004" t="s">
        <v>3625</v>
      </c>
      <c r="C2004">
        <v>24931</v>
      </c>
    </row>
    <row r="2005" spans="1:3" x14ac:dyDescent="0.25">
      <c r="A2005" t="s">
        <v>3626</v>
      </c>
      <c r="C2005">
        <v>24932</v>
      </c>
    </row>
    <row r="2006" spans="1:3" x14ac:dyDescent="0.25">
      <c r="A2006" t="s">
        <v>3627</v>
      </c>
      <c r="C2006">
        <v>24935</v>
      </c>
    </row>
    <row r="2007" spans="1:3" x14ac:dyDescent="0.25">
      <c r="A2007" t="s">
        <v>3628</v>
      </c>
      <c r="C2007">
        <v>24936</v>
      </c>
    </row>
    <row r="2008" spans="1:3" x14ac:dyDescent="0.25">
      <c r="A2008" t="s">
        <v>3629</v>
      </c>
      <c r="C2008">
        <v>24941</v>
      </c>
    </row>
    <row r="2009" spans="1:3" x14ac:dyDescent="0.25">
      <c r="A2009" t="s">
        <v>3630</v>
      </c>
      <c r="C2009">
        <v>24965</v>
      </c>
    </row>
    <row r="2010" spans="1:3" x14ac:dyDescent="0.25">
      <c r="A2010" t="s">
        <v>3631</v>
      </c>
      <c r="C2010">
        <v>25518</v>
      </c>
    </row>
    <row r="2011" spans="1:3" x14ac:dyDescent="0.25">
      <c r="A2011" t="s">
        <v>3632</v>
      </c>
      <c r="C2011">
        <v>24943</v>
      </c>
    </row>
    <row r="2012" spans="1:3" x14ac:dyDescent="0.25">
      <c r="A2012" t="s">
        <v>3633</v>
      </c>
      <c r="C2012">
        <v>24942</v>
      </c>
    </row>
    <row r="2013" spans="1:3" x14ac:dyDescent="0.25">
      <c r="A2013" t="s">
        <v>3634</v>
      </c>
      <c r="C2013">
        <v>24946</v>
      </c>
    </row>
    <row r="2014" spans="1:3" x14ac:dyDescent="0.25">
      <c r="A2014" t="s">
        <v>3635</v>
      </c>
      <c r="C2014">
        <v>24948</v>
      </c>
    </row>
    <row r="2015" spans="1:3" x14ac:dyDescent="0.25">
      <c r="A2015" t="s">
        <v>3636</v>
      </c>
      <c r="C2015">
        <v>24949</v>
      </c>
    </row>
    <row r="2016" spans="1:3" x14ac:dyDescent="0.25">
      <c r="A2016" t="s">
        <v>3637</v>
      </c>
      <c r="C2016">
        <v>24950</v>
      </c>
    </row>
    <row r="2017" spans="1:4" x14ac:dyDescent="0.25">
      <c r="A2017" t="s">
        <v>3638</v>
      </c>
      <c r="B2017" t="s">
        <v>3639</v>
      </c>
      <c r="C2017">
        <v>25752</v>
      </c>
    </row>
    <row r="2018" spans="1:4" x14ac:dyDescent="0.25">
      <c r="A2018" t="s">
        <v>3640</v>
      </c>
      <c r="B2018" t="s">
        <v>3639</v>
      </c>
      <c r="C2018">
        <v>24824</v>
      </c>
    </row>
    <row r="2019" spans="1:4" x14ac:dyDescent="0.25">
      <c r="A2019" t="s">
        <v>3641</v>
      </c>
      <c r="B2019" t="s">
        <v>3642</v>
      </c>
      <c r="C2019">
        <v>33963</v>
      </c>
      <c r="D2019" t="s">
        <v>211</v>
      </c>
    </row>
    <row r="2020" spans="1:4" x14ac:dyDescent="0.25">
      <c r="A2020" t="s">
        <v>3643</v>
      </c>
      <c r="B2020" t="s">
        <v>3644</v>
      </c>
      <c r="C2020">
        <v>33964</v>
      </c>
      <c r="D2020" t="s">
        <v>278</v>
      </c>
    </row>
    <row r="2021" spans="1:4" x14ac:dyDescent="0.25">
      <c r="A2021" t="s">
        <v>3645</v>
      </c>
      <c r="B2021" t="s">
        <v>3646</v>
      </c>
      <c r="C2021">
        <v>33967</v>
      </c>
      <c r="D2021" t="s">
        <v>211</v>
      </c>
    </row>
    <row r="2022" spans="1:4" x14ac:dyDescent="0.25">
      <c r="A2022" t="s">
        <v>3647</v>
      </c>
      <c r="B2022" t="s">
        <v>3648</v>
      </c>
      <c r="C2022">
        <v>33968</v>
      </c>
      <c r="D2022" t="s">
        <v>281</v>
      </c>
    </row>
    <row r="2023" spans="1:4" x14ac:dyDescent="0.25">
      <c r="A2023" t="s">
        <v>3649</v>
      </c>
      <c r="B2023" t="s">
        <v>3646</v>
      </c>
      <c r="C2023">
        <v>33969</v>
      </c>
      <c r="D2023" t="s">
        <v>211</v>
      </c>
    </row>
    <row r="2024" spans="1:4" x14ac:dyDescent="0.25">
      <c r="A2024" t="s">
        <v>3650</v>
      </c>
      <c r="B2024" t="s">
        <v>723</v>
      </c>
      <c r="C2024">
        <v>33962</v>
      </c>
      <c r="D2024" t="s">
        <v>281</v>
      </c>
    </row>
    <row r="2025" spans="1:4" x14ac:dyDescent="0.25">
      <c r="A2025" t="s">
        <v>3651</v>
      </c>
      <c r="B2025" t="s">
        <v>3652</v>
      </c>
      <c r="C2025">
        <v>48122</v>
      </c>
    </row>
    <row r="2026" spans="1:4" x14ac:dyDescent="0.25">
      <c r="A2026" t="s">
        <v>3653</v>
      </c>
      <c r="B2026" t="s">
        <v>3654</v>
      </c>
      <c r="C2026">
        <v>25753</v>
      </c>
      <c r="D2026" t="s">
        <v>267</v>
      </c>
    </row>
    <row r="2027" spans="1:4" x14ac:dyDescent="0.25">
      <c r="A2027" t="s">
        <v>3655</v>
      </c>
      <c r="B2027" t="s">
        <v>3654</v>
      </c>
      <c r="C2027">
        <v>24827</v>
      </c>
      <c r="D2027" t="s">
        <v>267</v>
      </c>
    </row>
    <row r="2028" spans="1:4" x14ac:dyDescent="0.25">
      <c r="A2028" t="s">
        <v>3656</v>
      </c>
      <c r="B2028" t="s">
        <v>3657</v>
      </c>
      <c r="C2028">
        <v>25754</v>
      </c>
      <c r="D2028" t="s">
        <v>267</v>
      </c>
    </row>
    <row r="2029" spans="1:4" x14ac:dyDescent="0.25">
      <c r="A2029" t="s">
        <v>3658</v>
      </c>
      <c r="B2029" t="s">
        <v>3657</v>
      </c>
      <c r="C2029">
        <v>24828</v>
      </c>
      <c r="D2029" t="s">
        <v>267</v>
      </c>
    </row>
    <row r="2030" spans="1:4" x14ac:dyDescent="0.25">
      <c r="A2030" t="s">
        <v>3659</v>
      </c>
      <c r="B2030" t="s">
        <v>3660</v>
      </c>
      <c r="C2030">
        <v>24830</v>
      </c>
      <c r="D2030" t="s">
        <v>267</v>
      </c>
    </row>
    <row r="2031" spans="1:4" x14ac:dyDescent="0.25">
      <c r="A2031" t="s">
        <v>3661</v>
      </c>
      <c r="B2031" t="s">
        <v>3662</v>
      </c>
      <c r="C2031">
        <v>24259</v>
      </c>
    </row>
    <row r="2032" spans="1:4" x14ac:dyDescent="0.25">
      <c r="A2032" t="s">
        <v>3663</v>
      </c>
      <c r="B2032" t="s">
        <v>3664</v>
      </c>
      <c r="C2032">
        <v>25269</v>
      </c>
    </row>
    <row r="2033" spans="1:4" x14ac:dyDescent="0.25">
      <c r="A2033" t="s">
        <v>3665</v>
      </c>
      <c r="B2033" t="s">
        <v>3666</v>
      </c>
      <c r="C2033">
        <v>25306</v>
      </c>
    </row>
    <row r="2034" spans="1:4" x14ac:dyDescent="0.25">
      <c r="A2034" t="s">
        <v>3667</v>
      </c>
      <c r="B2034" t="s">
        <v>3668</v>
      </c>
      <c r="C2034">
        <v>25307</v>
      </c>
    </row>
    <row r="2035" spans="1:4" x14ac:dyDescent="0.25">
      <c r="A2035" t="s">
        <v>3669</v>
      </c>
      <c r="B2035" t="s">
        <v>3670</v>
      </c>
      <c r="C2035">
        <v>25308</v>
      </c>
    </row>
    <row r="2036" spans="1:4" x14ac:dyDescent="0.25">
      <c r="A2036" t="s">
        <v>3671</v>
      </c>
      <c r="B2036" t="s">
        <v>3672</v>
      </c>
      <c r="C2036">
        <v>34044</v>
      </c>
      <c r="D2036" t="s">
        <v>252</v>
      </c>
    </row>
    <row r="2037" spans="1:4" x14ac:dyDescent="0.25">
      <c r="A2037" t="s">
        <v>3673</v>
      </c>
      <c r="B2037" t="s">
        <v>3674</v>
      </c>
      <c r="C2037">
        <v>33992</v>
      </c>
      <c r="D2037" t="s">
        <v>278</v>
      </c>
    </row>
    <row r="2038" spans="1:4" x14ac:dyDescent="0.25">
      <c r="A2038" t="s">
        <v>3675</v>
      </c>
      <c r="B2038" t="s">
        <v>3676</v>
      </c>
      <c r="C2038">
        <v>25705</v>
      </c>
    </row>
    <row r="2039" spans="1:4" x14ac:dyDescent="0.25">
      <c r="A2039" t="s">
        <v>3677</v>
      </c>
      <c r="B2039" t="s">
        <v>3676</v>
      </c>
      <c r="C2039">
        <v>24682</v>
      </c>
    </row>
    <row r="2040" spans="1:4" x14ac:dyDescent="0.25">
      <c r="A2040" t="s">
        <v>3678</v>
      </c>
      <c r="B2040" t="s">
        <v>3679</v>
      </c>
      <c r="C2040">
        <v>48123</v>
      </c>
    </row>
    <row r="2041" spans="1:4" x14ac:dyDescent="0.25">
      <c r="A2041" t="s">
        <v>3680</v>
      </c>
      <c r="B2041" t="s">
        <v>3681</v>
      </c>
      <c r="C2041">
        <v>24207</v>
      </c>
    </row>
    <row r="2042" spans="1:4" x14ac:dyDescent="0.25">
      <c r="A2042" t="s">
        <v>3682</v>
      </c>
      <c r="B2042" t="s">
        <v>3681</v>
      </c>
      <c r="C2042">
        <v>48124</v>
      </c>
    </row>
    <row r="2043" spans="1:4" x14ac:dyDescent="0.25">
      <c r="A2043" t="s">
        <v>3683</v>
      </c>
      <c r="B2043" t="s">
        <v>3684</v>
      </c>
      <c r="C2043">
        <v>25552</v>
      </c>
    </row>
    <row r="2044" spans="1:4" x14ac:dyDescent="0.25">
      <c r="A2044" t="s">
        <v>3685</v>
      </c>
      <c r="B2044" t="s">
        <v>3686</v>
      </c>
      <c r="C2044">
        <v>24330</v>
      </c>
    </row>
    <row r="2045" spans="1:4" x14ac:dyDescent="0.25">
      <c r="A2045" t="s">
        <v>3687</v>
      </c>
      <c r="B2045" t="s">
        <v>3688</v>
      </c>
      <c r="C2045">
        <v>24331</v>
      </c>
    </row>
    <row r="2046" spans="1:4" x14ac:dyDescent="0.25">
      <c r="A2046" t="s">
        <v>3689</v>
      </c>
      <c r="B2046" t="s">
        <v>3690</v>
      </c>
      <c r="C2046">
        <v>30872</v>
      </c>
    </row>
    <row r="2047" spans="1:4" x14ac:dyDescent="0.25">
      <c r="A2047" t="s">
        <v>3691</v>
      </c>
      <c r="B2047" t="s">
        <v>3690</v>
      </c>
      <c r="C2047">
        <v>30873</v>
      </c>
    </row>
    <row r="2048" spans="1:4" x14ac:dyDescent="0.25">
      <c r="A2048" t="s">
        <v>3692</v>
      </c>
      <c r="B2048" t="s">
        <v>3693</v>
      </c>
      <c r="C2048">
        <v>30870</v>
      </c>
    </row>
    <row r="2049" spans="1:4" x14ac:dyDescent="0.25">
      <c r="A2049" t="s">
        <v>3694</v>
      </c>
      <c r="B2049" t="s">
        <v>3693</v>
      </c>
      <c r="C2049">
        <v>30871</v>
      </c>
    </row>
    <row r="2050" spans="1:4" x14ac:dyDescent="0.25">
      <c r="A2050" t="s">
        <v>3695</v>
      </c>
      <c r="B2050" t="s">
        <v>3696</v>
      </c>
      <c r="C2050">
        <v>24175</v>
      </c>
    </row>
    <row r="2051" spans="1:4" x14ac:dyDescent="0.25">
      <c r="A2051" t="s">
        <v>3697</v>
      </c>
      <c r="B2051" t="s">
        <v>3698</v>
      </c>
      <c r="C2051">
        <v>24176</v>
      </c>
    </row>
    <row r="2052" spans="1:4" x14ac:dyDescent="0.25">
      <c r="A2052" t="s">
        <v>3699</v>
      </c>
      <c r="B2052" t="s">
        <v>3700</v>
      </c>
      <c r="C2052">
        <v>48125</v>
      </c>
    </row>
    <row r="2053" spans="1:4" x14ac:dyDescent="0.25">
      <c r="A2053" t="s">
        <v>3701</v>
      </c>
      <c r="B2053" t="s">
        <v>3702</v>
      </c>
      <c r="C2053">
        <v>24167</v>
      </c>
    </row>
    <row r="2054" spans="1:4" x14ac:dyDescent="0.25">
      <c r="A2054" t="s">
        <v>3703</v>
      </c>
      <c r="B2054" t="s">
        <v>3704</v>
      </c>
      <c r="C2054">
        <v>33924</v>
      </c>
      <c r="D2054" t="s">
        <v>211</v>
      </c>
    </row>
    <row r="2055" spans="1:4" x14ac:dyDescent="0.25">
      <c r="A2055" t="s">
        <v>3705</v>
      </c>
      <c r="B2055" t="s">
        <v>3706</v>
      </c>
      <c r="C2055">
        <v>33923</v>
      </c>
      <c r="D2055" t="s">
        <v>211</v>
      </c>
    </row>
    <row r="2056" spans="1:4" x14ac:dyDescent="0.25">
      <c r="A2056" t="s">
        <v>3707</v>
      </c>
      <c r="B2056" t="s">
        <v>3708</v>
      </c>
      <c r="C2056">
        <v>33925</v>
      </c>
      <c r="D2056" t="s">
        <v>211</v>
      </c>
    </row>
    <row r="2057" spans="1:4" x14ac:dyDescent="0.25">
      <c r="A2057" t="s">
        <v>3709</v>
      </c>
      <c r="B2057" t="s">
        <v>3710</v>
      </c>
      <c r="C2057">
        <v>33926</v>
      </c>
      <c r="D2057" t="s">
        <v>211</v>
      </c>
    </row>
    <row r="2058" spans="1:4" x14ac:dyDescent="0.25">
      <c r="A2058" t="s">
        <v>3711</v>
      </c>
      <c r="B2058" t="s">
        <v>3712</v>
      </c>
      <c r="C2058">
        <v>24082</v>
      </c>
    </row>
    <row r="2059" spans="1:4" x14ac:dyDescent="0.25">
      <c r="A2059" t="s">
        <v>3713</v>
      </c>
      <c r="B2059" t="s">
        <v>3714</v>
      </c>
      <c r="C2059">
        <v>33927</v>
      </c>
      <c r="D2059" t="s">
        <v>281</v>
      </c>
    </row>
    <row r="2060" spans="1:4" x14ac:dyDescent="0.25">
      <c r="A2060" t="s">
        <v>3715</v>
      </c>
      <c r="B2060" t="s">
        <v>3716</v>
      </c>
      <c r="C2060">
        <v>34134</v>
      </c>
      <c r="D2060" t="s">
        <v>408</v>
      </c>
    </row>
    <row r="2061" spans="1:4" x14ac:dyDescent="0.25">
      <c r="A2061" t="s">
        <v>3717</v>
      </c>
      <c r="B2061" t="s">
        <v>3718</v>
      </c>
      <c r="C2061">
        <v>34135</v>
      </c>
    </row>
    <row r="2062" spans="1:4" x14ac:dyDescent="0.25">
      <c r="A2062" t="s">
        <v>3719</v>
      </c>
      <c r="B2062" t="s">
        <v>3718</v>
      </c>
      <c r="C2062">
        <v>48126</v>
      </c>
      <c r="D2062" t="s">
        <v>211</v>
      </c>
    </row>
    <row r="2063" spans="1:4" x14ac:dyDescent="0.25">
      <c r="A2063" t="s">
        <v>3720</v>
      </c>
      <c r="B2063" t="s">
        <v>3721</v>
      </c>
      <c r="C2063">
        <v>48127</v>
      </c>
      <c r="D2063" t="s">
        <v>211</v>
      </c>
    </row>
    <row r="2064" spans="1:4" x14ac:dyDescent="0.25">
      <c r="A2064" t="s">
        <v>3722</v>
      </c>
      <c r="B2064" t="s">
        <v>3723</v>
      </c>
      <c r="C2064">
        <v>34007</v>
      </c>
      <c r="D2064" t="s">
        <v>211</v>
      </c>
    </row>
    <row r="2065" spans="1:4" x14ac:dyDescent="0.25">
      <c r="A2065" t="s">
        <v>3724</v>
      </c>
      <c r="B2065" t="s">
        <v>3723</v>
      </c>
      <c r="C2065">
        <v>48129</v>
      </c>
      <c r="D2065" t="s">
        <v>211</v>
      </c>
    </row>
    <row r="2066" spans="1:4" x14ac:dyDescent="0.25">
      <c r="A2066" t="s">
        <v>3725</v>
      </c>
      <c r="B2066" t="s">
        <v>3726</v>
      </c>
      <c r="C2066">
        <v>34136</v>
      </c>
      <c r="D2066" t="s">
        <v>211</v>
      </c>
    </row>
    <row r="2067" spans="1:4" x14ac:dyDescent="0.25">
      <c r="A2067" t="s">
        <v>3727</v>
      </c>
      <c r="B2067" t="s">
        <v>3728</v>
      </c>
      <c r="C2067">
        <v>44606</v>
      </c>
      <c r="D2067" t="s">
        <v>211</v>
      </c>
    </row>
    <row r="2068" spans="1:4" x14ac:dyDescent="0.25">
      <c r="A2068" t="s">
        <v>3729</v>
      </c>
      <c r="B2068" t="s">
        <v>3730</v>
      </c>
      <c r="C2068">
        <v>44607</v>
      </c>
      <c r="D2068" t="s">
        <v>408</v>
      </c>
    </row>
    <row r="2069" spans="1:4" x14ac:dyDescent="0.25">
      <c r="A2069" t="s">
        <v>3731</v>
      </c>
      <c r="B2069" t="s">
        <v>3732</v>
      </c>
      <c r="C2069">
        <v>34008</v>
      </c>
      <c r="D2069" t="s">
        <v>211</v>
      </c>
    </row>
    <row r="2070" spans="1:4" x14ac:dyDescent="0.25">
      <c r="A2070" t="s">
        <v>3733</v>
      </c>
      <c r="B2070" t="s">
        <v>3565</v>
      </c>
      <c r="C2070">
        <v>48597</v>
      </c>
      <c r="D2070" t="s">
        <v>267</v>
      </c>
    </row>
    <row r="2071" spans="1:4" x14ac:dyDescent="0.25">
      <c r="A2071" t="s">
        <v>3734</v>
      </c>
      <c r="B2071" t="s">
        <v>3735</v>
      </c>
      <c r="C2071">
        <v>24718</v>
      </c>
    </row>
    <row r="2072" spans="1:4" x14ac:dyDescent="0.25">
      <c r="A2072" t="s">
        <v>3736</v>
      </c>
      <c r="B2072" t="s">
        <v>3737</v>
      </c>
      <c r="C2072">
        <v>48135</v>
      </c>
      <c r="D2072" t="s">
        <v>278</v>
      </c>
    </row>
    <row r="2073" spans="1:4" x14ac:dyDescent="0.25">
      <c r="A2073" t="s">
        <v>3738</v>
      </c>
      <c r="B2073" t="s">
        <v>3739</v>
      </c>
      <c r="C2073">
        <v>48136</v>
      </c>
    </row>
    <row r="2074" spans="1:4" x14ac:dyDescent="0.25">
      <c r="A2074" t="s">
        <v>3740</v>
      </c>
      <c r="B2074" t="s">
        <v>3741</v>
      </c>
      <c r="C2074">
        <v>24845</v>
      </c>
    </row>
    <row r="2075" spans="1:4" x14ac:dyDescent="0.25">
      <c r="A2075" t="s">
        <v>3742</v>
      </c>
      <c r="B2075" t="s">
        <v>3743</v>
      </c>
      <c r="C2075">
        <v>33993</v>
      </c>
      <c r="D2075" t="s">
        <v>231</v>
      </c>
    </row>
    <row r="2076" spans="1:4" x14ac:dyDescent="0.25">
      <c r="A2076" t="s">
        <v>3744</v>
      </c>
      <c r="B2076" t="s">
        <v>3745</v>
      </c>
      <c r="C2076">
        <v>33994</v>
      </c>
      <c r="D2076" t="s">
        <v>319</v>
      </c>
    </row>
    <row r="2077" spans="1:4" x14ac:dyDescent="0.25">
      <c r="A2077" t="s">
        <v>3746</v>
      </c>
      <c r="B2077" t="s">
        <v>3747</v>
      </c>
      <c r="C2077">
        <v>25202</v>
      </c>
    </row>
    <row r="2078" spans="1:4" x14ac:dyDescent="0.25">
      <c r="A2078" t="s">
        <v>3748</v>
      </c>
      <c r="B2078" t="s">
        <v>3749</v>
      </c>
      <c r="C2078">
        <v>25203</v>
      </c>
    </row>
    <row r="2079" spans="1:4" x14ac:dyDescent="0.25">
      <c r="A2079" t="s">
        <v>3750</v>
      </c>
      <c r="C2079">
        <v>25519</v>
      </c>
    </row>
    <row r="2080" spans="1:4" x14ac:dyDescent="0.25">
      <c r="A2080" t="s">
        <v>3751</v>
      </c>
      <c r="C2080">
        <v>25204</v>
      </c>
    </row>
    <row r="2081" spans="1:4" x14ac:dyDescent="0.25">
      <c r="A2081" t="s">
        <v>3752</v>
      </c>
      <c r="B2081" t="s">
        <v>3753</v>
      </c>
      <c r="C2081">
        <v>25205</v>
      </c>
      <c r="D2081" t="s">
        <v>211</v>
      </c>
    </row>
    <row r="2082" spans="1:4" x14ac:dyDescent="0.25">
      <c r="A2082" t="s">
        <v>3754</v>
      </c>
      <c r="C2082">
        <v>25206</v>
      </c>
    </row>
    <row r="2083" spans="1:4" x14ac:dyDescent="0.25">
      <c r="A2083" t="s">
        <v>3755</v>
      </c>
      <c r="C2083">
        <v>25207</v>
      </c>
    </row>
    <row r="2084" spans="1:4" x14ac:dyDescent="0.25">
      <c r="A2084" t="s">
        <v>3756</v>
      </c>
      <c r="B2084" t="s">
        <v>3757</v>
      </c>
      <c r="C2084">
        <v>25520</v>
      </c>
    </row>
    <row r="2085" spans="1:4" x14ac:dyDescent="0.25">
      <c r="A2085" t="s">
        <v>3758</v>
      </c>
      <c r="C2085">
        <v>25208</v>
      </c>
    </row>
    <row r="2086" spans="1:4" x14ac:dyDescent="0.25">
      <c r="A2086" t="s">
        <v>3759</v>
      </c>
      <c r="B2086" t="s">
        <v>3760</v>
      </c>
      <c r="C2086">
        <v>25548</v>
      </c>
    </row>
    <row r="2087" spans="1:4" x14ac:dyDescent="0.25">
      <c r="A2087" t="s">
        <v>3761</v>
      </c>
      <c r="B2087" t="s">
        <v>3762</v>
      </c>
      <c r="C2087">
        <v>24306</v>
      </c>
    </row>
    <row r="2088" spans="1:4" x14ac:dyDescent="0.25">
      <c r="A2088" t="s">
        <v>3763</v>
      </c>
      <c r="B2088" t="s">
        <v>3760</v>
      </c>
      <c r="C2088">
        <v>42350</v>
      </c>
    </row>
    <row r="2089" spans="1:4" x14ac:dyDescent="0.25">
      <c r="A2089" t="s">
        <v>3764</v>
      </c>
      <c r="B2089" t="s">
        <v>3765</v>
      </c>
      <c r="C2089">
        <v>48137</v>
      </c>
    </row>
    <row r="2090" spans="1:4" x14ac:dyDescent="0.25">
      <c r="A2090" t="s">
        <v>3766</v>
      </c>
      <c r="B2090" t="s">
        <v>3767</v>
      </c>
      <c r="C2090">
        <v>42351</v>
      </c>
    </row>
    <row r="2091" spans="1:4" x14ac:dyDescent="0.25">
      <c r="A2091" t="s">
        <v>3768</v>
      </c>
      <c r="B2091" t="s">
        <v>3769</v>
      </c>
      <c r="C2091">
        <v>25549</v>
      </c>
    </row>
    <row r="2092" spans="1:4" x14ac:dyDescent="0.25">
      <c r="A2092" t="s">
        <v>3770</v>
      </c>
      <c r="B2092" t="s">
        <v>3769</v>
      </c>
      <c r="C2092">
        <v>24309</v>
      </c>
    </row>
    <row r="2093" spans="1:4" x14ac:dyDescent="0.25">
      <c r="A2093" t="s">
        <v>3771</v>
      </c>
      <c r="B2093" t="s">
        <v>3772</v>
      </c>
      <c r="C2093">
        <v>34096</v>
      </c>
      <c r="D2093" t="s">
        <v>319</v>
      </c>
    </row>
    <row r="2094" spans="1:4" x14ac:dyDescent="0.25">
      <c r="A2094" t="s">
        <v>3773</v>
      </c>
      <c r="B2094" t="s">
        <v>3774</v>
      </c>
      <c r="C2094">
        <v>48141</v>
      </c>
    </row>
    <row r="2095" spans="1:4" x14ac:dyDescent="0.25">
      <c r="A2095" t="s">
        <v>3775</v>
      </c>
      <c r="B2095" t="s">
        <v>3776</v>
      </c>
      <c r="C2095">
        <v>25723</v>
      </c>
    </row>
    <row r="2096" spans="1:4" x14ac:dyDescent="0.25">
      <c r="A2096" t="s">
        <v>3777</v>
      </c>
      <c r="B2096" t="s">
        <v>3776</v>
      </c>
      <c r="C2096">
        <v>24755</v>
      </c>
    </row>
    <row r="2097" spans="1:4" x14ac:dyDescent="0.25">
      <c r="A2097" t="s">
        <v>3778</v>
      </c>
      <c r="B2097" t="s">
        <v>3779</v>
      </c>
      <c r="C2097">
        <v>24754</v>
      </c>
    </row>
    <row r="2098" spans="1:4" x14ac:dyDescent="0.25">
      <c r="A2098" t="s">
        <v>3780</v>
      </c>
      <c r="B2098" t="s">
        <v>3781</v>
      </c>
      <c r="C2098">
        <v>24756</v>
      </c>
    </row>
    <row r="2099" spans="1:4" x14ac:dyDescent="0.25">
      <c r="A2099" t="s">
        <v>3782</v>
      </c>
      <c r="B2099" t="s">
        <v>3783</v>
      </c>
      <c r="C2099">
        <v>33995</v>
      </c>
      <c r="D2099" t="s">
        <v>231</v>
      </c>
    </row>
    <row r="2100" spans="1:4" x14ac:dyDescent="0.25">
      <c r="A2100" t="s">
        <v>3784</v>
      </c>
      <c r="B2100" t="s">
        <v>3785</v>
      </c>
      <c r="C2100">
        <v>25521</v>
      </c>
    </row>
    <row r="2101" spans="1:4" x14ac:dyDescent="0.25">
      <c r="A2101" t="s">
        <v>3786</v>
      </c>
      <c r="B2101" t="s">
        <v>3787</v>
      </c>
      <c r="C2101">
        <v>24157</v>
      </c>
      <c r="D2101" t="s">
        <v>211</v>
      </c>
    </row>
    <row r="2102" spans="1:4" x14ac:dyDescent="0.25">
      <c r="A2102" t="s">
        <v>3788</v>
      </c>
      <c r="B2102" t="s">
        <v>3789</v>
      </c>
      <c r="C2102">
        <v>48144</v>
      </c>
    </row>
    <row r="2103" spans="1:4" x14ac:dyDescent="0.25">
      <c r="A2103" t="s">
        <v>3790</v>
      </c>
      <c r="B2103" t="s">
        <v>3785</v>
      </c>
      <c r="C2103">
        <v>24158</v>
      </c>
    </row>
    <row r="2104" spans="1:4" x14ac:dyDescent="0.25">
      <c r="A2104" t="s">
        <v>3791</v>
      </c>
      <c r="B2104" t="s">
        <v>3792</v>
      </c>
      <c r="C2104">
        <v>24803</v>
      </c>
      <c r="D2104" t="s">
        <v>278</v>
      </c>
    </row>
    <row r="2105" spans="1:4" x14ac:dyDescent="0.25">
      <c r="A2105" t="s">
        <v>3793</v>
      </c>
      <c r="B2105" t="s">
        <v>3794</v>
      </c>
      <c r="C2105">
        <v>24805</v>
      </c>
    </row>
    <row r="2106" spans="1:4" x14ac:dyDescent="0.25">
      <c r="A2106" t="s">
        <v>3795</v>
      </c>
      <c r="B2106" t="s">
        <v>3796</v>
      </c>
      <c r="C2106">
        <v>24806</v>
      </c>
      <c r="D2106" t="s">
        <v>267</v>
      </c>
    </row>
    <row r="2107" spans="1:4" x14ac:dyDescent="0.25">
      <c r="A2107" t="s">
        <v>3797</v>
      </c>
      <c r="B2107" t="s">
        <v>3798</v>
      </c>
      <c r="C2107">
        <v>30848</v>
      </c>
    </row>
    <row r="2108" spans="1:4" x14ac:dyDescent="0.25">
      <c r="A2108" t="s">
        <v>3799</v>
      </c>
      <c r="B2108" t="s">
        <v>3800</v>
      </c>
      <c r="C2108">
        <v>41339</v>
      </c>
    </row>
    <row r="2109" spans="1:4" x14ac:dyDescent="0.25">
      <c r="A2109" t="s">
        <v>3801</v>
      </c>
      <c r="B2109" t="s">
        <v>3802</v>
      </c>
      <c r="C2109">
        <v>24808</v>
      </c>
      <c r="D2109" t="s">
        <v>267</v>
      </c>
    </row>
    <row r="2110" spans="1:4" x14ac:dyDescent="0.25">
      <c r="A2110" t="s">
        <v>3803</v>
      </c>
      <c r="B2110" t="s">
        <v>3804</v>
      </c>
      <c r="C2110">
        <v>24809</v>
      </c>
      <c r="D2110" t="s">
        <v>267</v>
      </c>
    </row>
    <row r="2111" spans="1:4" x14ac:dyDescent="0.25">
      <c r="A2111" t="s">
        <v>3805</v>
      </c>
      <c r="B2111" t="s">
        <v>3806</v>
      </c>
      <c r="C2111">
        <v>24810</v>
      </c>
      <c r="D2111" t="s">
        <v>267</v>
      </c>
    </row>
    <row r="2112" spans="1:4" x14ac:dyDescent="0.25">
      <c r="A2112" t="s">
        <v>3807</v>
      </c>
      <c r="B2112" t="s">
        <v>3808</v>
      </c>
      <c r="C2112">
        <v>39407</v>
      </c>
    </row>
    <row r="2113" spans="1:4" x14ac:dyDescent="0.25">
      <c r="A2113" t="s">
        <v>3809</v>
      </c>
      <c r="B2113" t="s">
        <v>3808</v>
      </c>
      <c r="C2113">
        <v>33965</v>
      </c>
    </row>
    <row r="2114" spans="1:4" x14ac:dyDescent="0.25">
      <c r="A2114" t="s">
        <v>3810</v>
      </c>
      <c r="B2114" t="s">
        <v>3811</v>
      </c>
      <c r="C2114">
        <v>44626</v>
      </c>
      <c r="D2114" t="s">
        <v>408</v>
      </c>
    </row>
    <row r="2115" spans="1:4" x14ac:dyDescent="0.25">
      <c r="A2115" t="s">
        <v>3812</v>
      </c>
      <c r="B2115" t="s">
        <v>3813</v>
      </c>
      <c r="C2115">
        <v>33928</v>
      </c>
      <c r="D2115" t="s">
        <v>211</v>
      </c>
    </row>
    <row r="2116" spans="1:4" x14ac:dyDescent="0.25">
      <c r="A2116" t="s">
        <v>3814</v>
      </c>
      <c r="B2116" t="s">
        <v>3815</v>
      </c>
      <c r="C2116">
        <v>25329</v>
      </c>
    </row>
    <row r="2117" spans="1:4" x14ac:dyDescent="0.25">
      <c r="A2117" t="s">
        <v>3816</v>
      </c>
      <c r="C2117">
        <v>25522</v>
      </c>
    </row>
    <row r="2118" spans="1:4" x14ac:dyDescent="0.25">
      <c r="A2118" t="s">
        <v>3817</v>
      </c>
      <c r="B2118" t="s">
        <v>3818</v>
      </c>
      <c r="C2118">
        <v>24811</v>
      </c>
    </row>
    <row r="2119" spans="1:4" x14ac:dyDescent="0.25">
      <c r="A2119" t="s">
        <v>3819</v>
      </c>
      <c r="B2119" t="s">
        <v>3820</v>
      </c>
      <c r="C2119">
        <v>30952</v>
      </c>
    </row>
    <row r="2120" spans="1:4" x14ac:dyDescent="0.25">
      <c r="A2120" t="s">
        <v>3821</v>
      </c>
      <c r="B2120" t="s">
        <v>3820</v>
      </c>
      <c r="C2120">
        <v>30953</v>
      </c>
    </row>
    <row r="2121" spans="1:4" x14ac:dyDescent="0.25">
      <c r="A2121" t="s">
        <v>3822</v>
      </c>
      <c r="B2121" t="s">
        <v>3823</v>
      </c>
      <c r="C2121">
        <v>34097</v>
      </c>
      <c r="D2121" t="s">
        <v>408</v>
      </c>
    </row>
    <row r="2122" spans="1:4" x14ac:dyDescent="0.25">
      <c r="A2122" t="s">
        <v>3824</v>
      </c>
      <c r="B2122" t="s">
        <v>2712</v>
      </c>
      <c r="C2122">
        <v>34098</v>
      </c>
      <c r="D2122" t="s">
        <v>281</v>
      </c>
    </row>
    <row r="2123" spans="1:4" x14ac:dyDescent="0.25">
      <c r="A2123" t="s">
        <v>3825</v>
      </c>
      <c r="B2123" t="s">
        <v>3826</v>
      </c>
      <c r="C2123">
        <v>34099</v>
      </c>
      <c r="D2123" t="s">
        <v>281</v>
      </c>
    </row>
    <row r="2124" spans="1:4" x14ac:dyDescent="0.25">
      <c r="A2124" t="s">
        <v>3827</v>
      </c>
      <c r="B2124" t="s">
        <v>3826</v>
      </c>
      <c r="C2124">
        <v>34100</v>
      </c>
      <c r="D2124" t="s">
        <v>281</v>
      </c>
    </row>
    <row r="2125" spans="1:4" x14ac:dyDescent="0.25">
      <c r="A2125" t="s">
        <v>3828</v>
      </c>
      <c r="B2125" t="s">
        <v>3829</v>
      </c>
      <c r="C2125">
        <v>34101</v>
      </c>
      <c r="D2125" t="s">
        <v>281</v>
      </c>
    </row>
    <row r="2126" spans="1:4" x14ac:dyDescent="0.25">
      <c r="A2126" t="s">
        <v>3830</v>
      </c>
      <c r="B2126" t="s">
        <v>3831</v>
      </c>
      <c r="C2126">
        <v>34102</v>
      </c>
      <c r="D2126" t="s">
        <v>211</v>
      </c>
    </row>
    <row r="2127" spans="1:4" x14ac:dyDescent="0.25">
      <c r="A2127" t="s">
        <v>3832</v>
      </c>
      <c r="B2127" t="s">
        <v>3833</v>
      </c>
      <c r="C2127">
        <v>34103</v>
      </c>
      <c r="D2127" t="s">
        <v>281</v>
      </c>
    </row>
    <row r="2128" spans="1:4" x14ac:dyDescent="0.25">
      <c r="A2128" t="s">
        <v>3834</v>
      </c>
      <c r="B2128" t="s">
        <v>3835</v>
      </c>
      <c r="C2128">
        <v>34149</v>
      </c>
    </row>
    <row r="2129" spans="1:4" x14ac:dyDescent="0.25">
      <c r="A2129" t="s">
        <v>3836</v>
      </c>
      <c r="B2129" t="s">
        <v>3837</v>
      </c>
      <c r="C2129">
        <v>48145</v>
      </c>
    </row>
    <row r="2130" spans="1:4" x14ac:dyDescent="0.25">
      <c r="A2130" t="s">
        <v>3838</v>
      </c>
      <c r="B2130" t="s">
        <v>3837</v>
      </c>
      <c r="C2130">
        <v>48146</v>
      </c>
    </row>
    <row r="2131" spans="1:4" x14ac:dyDescent="0.25">
      <c r="A2131" t="s">
        <v>3839</v>
      </c>
      <c r="B2131" t="s">
        <v>3840</v>
      </c>
      <c r="C2131">
        <v>24848</v>
      </c>
    </row>
    <row r="2132" spans="1:4" x14ac:dyDescent="0.25">
      <c r="A2132" t="s">
        <v>3841</v>
      </c>
      <c r="B2132" t="s">
        <v>3842</v>
      </c>
      <c r="C2132">
        <v>48147</v>
      </c>
    </row>
    <row r="2133" spans="1:4" x14ac:dyDescent="0.25">
      <c r="A2133" t="s">
        <v>3843</v>
      </c>
      <c r="B2133" t="s">
        <v>3844</v>
      </c>
      <c r="C2133">
        <v>48148</v>
      </c>
      <c r="D2133" t="s">
        <v>408</v>
      </c>
    </row>
    <row r="2134" spans="1:4" x14ac:dyDescent="0.25">
      <c r="A2134" t="s">
        <v>3845</v>
      </c>
      <c r="B2134" t="s">
        <v>3842</v>
      </c>
      <c r="C2134">
        <v>48149</v>
      </c>
    </row>
    <row r="2135" spans="1:4" x14ac:dyDescent="0.25">
      <c r="A2135" t="s">
        <v>3846</v>
      </c>
      <c r="B2135" t="s">
        <v>3847</v>
      </c>
      <c r="C2135">
        <v>24851</v>
      </c>
    </row>
    <row r="2136" spans="1:4" x14ac:dyDescent="0.25">
      <c r="A2136" t="s">
        <v>3848</v>
      </c>
      <c r="B2136" t="s">
        <v>3849</v>
      </c>
      <c r="C2136">
        <v>30954</v>
      </c>
    </row>
    <row r="2137" spans="1:4" x14ac:dyDescent="0.25">
      <c r="A2137" t="s">
        <v>3850</v>
      </c>
      <c r="B2137" t="s">
        <v>3851</v>
      </c>
      <c r="C2137">
        <v>24069</v>
      </c>
    </row>
    <row r="2138" spans="1:4" x14ac:dyDescent="0.25">
      <c r="A2138" t="s">
        <v>3852</v>
      </c>
      <c r="B2138" t="s">
        <v>3851</v>
      </c>
      <c r="C2138">
        <v>48150</v>
      </c>
    </row>
    <row r="2139" spans="1:4" x14ac:dyDescent="0.25">
      <c r="A2139" t="s">
        <v>3853</v>
      </c>
      <c r="B2139" t="s">
        <v>3854</v>
      </c>
      <c r="C2139">
        <v>30955</v>
      </c>
    </row>
    <row r="2140" spans="1:4" x14ac:dyDescent="0.25">
      <c r="A2140" t="s">
        <v>3855</v>
      </c>
      <c r="B2140" t="s">
        <v>3856</v>
      </c>
      <c r="C2140">
        <v>30814</v>
      </c>
    </row>
    <row r="2141" spans="1:4" x14ac:dyDescent="0.25">
      <c r="A2141" t="s">
        <v>3857</v>
      </c>
      <c r="B2141" t="s">
        <v>3858</v>
      </c>
      <c r="C2141">
        <v>30815</v>
      </c>
    </row>
    <row r="2142" spans="1:4" x14ac:dyDescent="0.25">
      <c r="A2142" t="s">
        <v>3859</v>
      </c>
      <c r="B2142" t="s">
        <v>3860</v>
      </c>
      <c r="C2142">
        <v>39408</v>
      </c>
    </row>
    <row r="2143" spans="1:4" x14ac:dyDescent="0.25">
      <c r="A2143" t="s">
        <v>3861</v>
      </c>
      <c r="B2143" t="s">
        <v>3860</v>
      </c>
      <c r="C2143">
        <v>34122</v>
      </c>
    </row>
    <row r="2144" spans="1:4" x14ac:dyDescent="0.25">
      <c r="A2144" t="s">
        <v>3862</v>
      </c>
      <c r="B2144" t="s">
        <v>3863</v>
      </c>
      <c r="C2144">
        <v>48152</v>
      </c>
      <c r="D2144" t="s">
        <v>319</v>
      </c>
    </row>
    <row r="2145" spans="1:4" x14ac:dyDescent="0.25">
      <c r="A2145" t="s">
        <v>3864</v>
      </c>
      <c r="B2145" t="s">
        <v>3865</v>
      </c>
      <c r="C2145">
        <v>25762</v>
      </c>
    </row>
    <row r="2146" spans="1:4" x14ac:dyDescent="0.25">
      <c r="A2146" t="s">
        <v>3866</v>
      </c>
      <c r="B2146" t="s">
        <v>3865</v>
      </c>
      <c r="C2146">
        <v>24852</v>
      </c>
    </row>
    <row r="2147" spans="1:4" x14ac:dyDescent="0.25">
      <c r="A2147" t="s">
        <v>3867</v>
      </c>
      <c r="B2147" t="s">
        <v>3868</v>
      </c>
      <c r="C2147">
        <v>34015</v>
      </c>
    </row>
    <row r="2148" spans="1:4" x14ac:dyDescent="0.25">
      <c r="A2148" t="s">
        <v>3869</v>
      </c>
      <c r="B2148" t="s">
        <v>3870</v>
      </c>
      <c r="C2148">
        <v>25764</v>
      </c>
    </row>
    <row r="2149" spans="1:4" x14ac:dyDescent="0.25">
      <c r="A2149" t="s">
        <v>3871</v>
      </c>
      <c r="B2149" t="s">
        <v>3872</v>
      </c>
      <c r="C2149">
        <v>24854</v>
      </c>
      <c r="D2149" t="s">
        <v>319</v>
      </c>
    </row>
    <row r="2150" spans="1:4" x14ac:dyDescent="0.25">
      <c r="A2150" t="s">
        <v>3873</v>
      </c>
      <c r="B2150" t="s">
        <v>3874</v>
      </c>
      <c r="C2150">
        <v>24855</v>
      </c>
      <c r="D2150" t="s">
        <v>231</v>
      </c>
    </row>
    <row r="2151" spans="1:4" x14ac:dyDescent="0.25">
      <c r="A2151" t="s">
        <v>3875</v>
      </c>
      <c r="B2151" t="s">
        <v>3876</v>
      </c>
      <c r="C2151">
        <v>24983</v>
      </c>
    </row>
    <row r="2152" spans="1:4" x14ac:dyDescent="0.25">
      <c r="A2152" t="s">
        <v>3877</v>
      </c>
      <c r="B2152" t="s">
        <v>3878</v>
      </c>
      <c r="C2152">
        <v>41426</v>
      </c>
      <c r="D2152" t="s">
        <v>252</v>
      </c>
    </row>
    <row r="2153" spans="1:4" x14ac:dyDescent="0.25">
      <c r="A2153" t="s">
        <v>3879</v>
      </c>
      <c r="B2153" t="s">
        <v>3880</v>
      </c>
      <c r="C2153">
        <v>25436</v>
      </c>
    </row>
    <row r="2154" spans="1:4" x14ac:dyDescent="0.25">
      <c r="A2154" t="s">
        <v>3881</v>
      </c>
      <c r="B2154" t="s">
        <v>3882</v>
      </c>
      <c r="C2154">
        <v>25437</v>
      </c>
    </row>
    <row r="2155" spans="1:4" x14ac:dyDescent="0.25">
      <c r="A2155" t="s">
        <v>3883</v>
      </c>
      <c r="B2155" t="s">
        <v>3884</v>
      </c>
      <c r="C2155">
        <v>25438</v>
      </c>
    </row>
    <row r="2156" spans="1:4" x14ac:dyDescent="0.25">
      <c r="A2156" t="s">
        <v>3885</v>
      </c>
      <c r="B2156" t="s">
        <v>3886</v>
      </c>
      <c r="C2156">
        <v>25439</v>
      </c>
    </row>
    <row r="2157" spans="1:4" x14ac:dyDescent="0.25">
      <c r="A2157" t="s">
        <v>3887</v>
      </c>
      <c r="B2157" t="s">
        <v>3888</v>
      </c>
      <c r="C2157">
        <v>48153</v>
      </c>
    </row>
    <row r="2158" spans="1:4" x14ac:dyDescent="0.25">
      <c r="A2158" t="s">
        <v>3889</v>
      </c>
      <c r="B2158" t="s">
        <v>3890</v>
      </c>
      <c r="C2158">
        <v>25440</v>
      </c>
    </row>
    <row r="2159" spans="1:4" x14ac:dyDescent="0.25">
      <c r="A2159" t="s">
        <v>3891</v>
      </c>
      <c r="B2159" t="s">
        <v>3892</v>
      </c>
      <c r="C2159">
        <v>25441</v>
      </c>
      <c r="D2159" t="s">
        <v>319</v>
      </c>
    </row>
    <row r="2160" spans="1:4" x14ac:dyDescent="0.25">
      <c r="A2160" t="s">
        <v>3893</v>
      </c>
      <c r="B2160" t="s">
        <v>3894</v>
      </c>
      <c r="C2160">
        <v>41427</v>
      </c>
    </row>
    <row r="2161" spans="1:4" x14ac:dyDescent="0.25">
      <c r="A2161" t="s">
        <v>3895</v>
      </c>
      <c r="B2161" t="s">
        <v>3896</v>
      </c>
      <c r="C2161">
        <v>25442</v>
      </c>
    </row>
    <row r="2162" spans="1:4" x14ac:dyDescent="0.25">
      <c r="A2162" t="s">
        <v>3897</v>
      </c>
      <c r="B2162" t="s">
        <v>3898</v>
      </c>
      <c r="C2162">
        <v>25443</v>
      </c>
      <c r="D2162" t="s">
        <v>231</v>
      </c>
    </row>
    <row r="2163" spans="1:4" x14ac:dyDescent="0.25">
      <c r="A2163" t="s">
        <v>3899</v>
      </c>
      <c r="B2163" t="s">
        <v>3900</v>
      </c>
      <c r="C2163">
        <v>44603</v>
      </c>
    </row>
    <row r="2164" spans="1:4" x14ac:dyDescent="0.25">
      <c r="A2164" t="s">
        <v>3901</v>
      </c>
      <c r="B2164" t="s">
        <v>3902</v>
      </c>
      <c r="C2164">
        <v>25445</v>
      </c>
    </row>
    <row r="2165" spans="1:4" x14ac:dyDescent="0.25">
      <c r="A2165" t="s">
        <v>3903</v>
      </c>
      <c r="B2165" t="s">
        <v>3904</v>
      </c>
      <c r="C2165">
        <v>41428</v>
      </c>
    </row>
    <row r="2166" spans="1:4" x14ac:dyDescent="0.25">
      <c r="A2166" t="s">
        <v>3905</v>
      </c>
      <c r="B2166" t="s">
        <v>3906</v>
      </c>
      <c r="C2166">
        <v>44604</v>
      </c>
    </row>
    <row r="2167" spans="1:4" x14ac:dyDescent="0.25">
      <c r="A2167" t="s">
        <v>3907</v>
      </c>
      <c r="B2167" t="s">
        <v>3908</v>
      </c>
      <c r="C2167">
        <v>25446</v>
      </c>
    </row>
    <row r="2168" spans="1:4" x14ac:dyDescent="0.25">
      <c r="A2168" t="s">
        <v>3909</v>
      </c>
      <c r="B2168" t="s">
        <v>3910</v>
      </c>
      <c r="C2168">
        <v>25447</v>
      </c>
    </row>
    <row r="2169" spans="1:4" x14ac:dyDescent="0.25">
      <c r="A2169" t="s">
        <v>3911</v>
      </c>
      <c r="B2169" t="s">
        <v>3912</v>
      </c>
      <c r="C2169">
        <v>25577</v>
      </c>
    </row>
    <row r="2170" spans="1:4" x14ac:dyDescent="0.25">
      <c r="A2170" t="s">
        <v>3913</v>
      </c>
      <c r="B2170" t="s">
        <v>3912</v>
      </c>
      <c r="C2170">
        <v>24384</v>
      </c>
    </row>
    <row r="2171" spans="1:4" x14ac:dyDescent="0.25">
      <c r="A2171" t="s">
        <v>3914</v>
      </c>
      <c r="B2171" t="s">
        <v>3912</v>
      </c>
      <c r="C2171">
        <v>24385</v>
      </c>
    </row>
    <row r="2172" spans="1:4" x14ac:dyDescent="0.25">
      <c r="A2172" t="s">
        <v>3915</v>
      </c>
      <c r="B2172" t="s">
        <v>3916</v>
      </c>
      <c r="C2172">
        <v>24386</v>
      </c>
    </row>
    <row r="2173" spans="1:4" x14ac:dyDescent="0.25">
      <c r="A2173" t="s">
        <v>3917</v>
      </c>
      <c r="B2173" t="s">
        <v>3918</v>
      </c>
      <c r="C2173">
        <v>25209</v>
      </c>
    </row>
    <row r="2174" spans="1:4" x14ac:dyDescent="0.25">
      <c r="A2174" t="s">
        <v>3919</v>
      </c>
      <c r="B2174" t="s">
        <v>3920</v>
      </c>
      <c r="C2174">
        <v>25210</v>
      </c>
    </row>
    <row r="2175" spans="1:4" x14ac:dyDescent="0.25">
      <c r="A2175" t="s">
        <v>3921</v>
      </c>
      <c r="B2175" t="s">
        <v>3922</v>
      </c>
      <c r="C2175">
        <v>30825</v>
      </c>
    </row>
    <row r="2176" spans="1:4" x14ac:dyDescent="0.25">
      <c r="A2176" t="s">
        <v>3923</v>
      </c>
      <c r="C2176">
        <v>25211</v>
      </c>
    </row>
    <row r="2177" spans="1:3" x14ac:dyDescent="0.25">
      <c r="A2177" t="s">
        <v>3924</v>
      </c>
      <c r="B2177" t="s">
        <v>3925</v>
      </c>
      <c r="C2177">
        <v>25212</v>
      </c>
    </row>
    <row r="2178" spans="1:3" x14ac:dyDescent="0.25">
      <c r="A2178" t="s">
        <v>3926</v>
      </c>
      <c r="B2178" t="s">
        <v>3927</v>
      </c>
      <c r="C2178">
        <v>25216</v>
      </c>
    </row>
    <row r="2179" spans="1:3" x14ac:dyDescent="0.25">
      <c r="A2179" t="s">
        <v>3928</v>
      </c>
      <c r="B2179" t="s">
        <v>3929</v>
      </c>
      <c r="C2179">
        <v>25215</v>
      </c>
    </row>
    <row r="2180" spans="1:3" x14ac:dyDescent="0.25">
      <c r="A2180" t="s">
        <v>3930</v>
      </c>
      <c r="B2180" t="s">
        <v>3931</v>
      </c>
      <c r="C2180">
        <v>25217</v>
      </c>
    </row>
    <row r="2181" spans="1:3" x14ac:dyDescent="0.25">
      <c r="A2181" t="s">
        <v>3932</v>
      </c>
      <c r="B2181" t="s">
        <v>3933</v>
      </c>
      <c r="C2181">
        <v>25213</v>
      </c>
    </row>
    <row r="2182" spans="1:3" x14ac:dyDescent="0.25">
      <c r="A2182" t="s">
        <v>3934</v>
      </c>
      <c r="B2182" t="s">
        <v>3935</v>
      </c>
      <c r="C2182">
        <v>25218</v>
      </c>
    </row>
    <row r="2183" spans="1:3" x14ac:dyDescent="0.25">
      <c r="A2183" t="s">
        <v>3936</v>
      </c>
      <c r="B2183" t="s">
        <v>3937</v>
      </c>
      <c r="C2183">
        <v>48154</v>
      </c>
    </row>
    <row r="2184" spans="1:3" x14ac:dyDescent="0.25">
      <c r="A2184" t="s">
        <v>3938</v>
      </c>
      <c r="C2184">
        <v>25219</v>
      </c>
    </row>
    <row r="2185" spans="1:3" x14ac:dyDescent="0.25">
      <c r="A2185" t="s">
        <v>3939</v>
      </c>
      <c r="B2185" t="s">
        <v>3940</v>
      </c>
      <c r="C2185">
        <v>25220</v>
      </c>
    </row>
    <row r="2186" spans="1:3" x14ac:dyDescent="0.25">
      <c r="A2186" t="s">
        <v>3941</v>
      </c>
      <c r="B2186" t="s">
        <v>3942</v>
      </c>
      <c r="C2186">
        <v>25221</v>
      </c>
    </row>
    <row r="2187" spans="1:3" x14ac:dyDescent="0.25">
      <c r="A2187" t="s">
        <v>3943</v>
      </c>
      <c r="B2187" t="s">
        <v>3944</v>
      </c>
      <c r="C2187">
        <v>25524</v>
      </c>
    </row>
    <row r="2188" spans="1:3" x14ac:dyDescent="0.25">
      <c r="A2188" t="s">
        <v>3945</v>
      </c>
      <c r="C2188">
        <v>25222</v>
      </c>
    </row>
    <row r="2189" spans="1:3" x14ac:dyDescent="0.25">
      <c r="A2189" t="s">
        <v>3946</v>
      </c>
      <c r="C2189">
        <v>25223</v>
      </c>
    </row>
    <row r="2190" spans="1:3" x14ac:dyDescent="0.25">
      <c r="A2190" t="s">
        <v>3947</v>
      </c>
      <c r="B2190" t="s">
        <v>3948</v>
      </c>
      <c r="C2190">
        <v>25224</v>
      </c>
    </row>
    <row r="2191" spans="1:3" x14ac:dyDescent="0.25">
      <c r="A2191" t="s">
        <v>3949</v>
      </c>
      <c r="B2191" t="s">
        <v>3950</v>
      </c>
      <c r="C2191">
        <v>25225</v>
      </c>
    </row>
    <row r="2192" spans="1:3" x14ac:dyDescent="0.25">
      <c r="A2192" t="s">
        <v>3951</v>
      </c>
      <c r="B2192" t="s">
        <v>3952</v>
      </c>
      <c r="C2192">
        <v>25214</v>
      </c>
    </row>
    <row r="2193" spans="1:4" x14ac:dyDescent="0.25">
      <c r="A2193" t="s">
        <v>3953</v>
      </c>
      <c r="B2193" t="s">
        <v>3954</v>
      </c>
      <c r="C2193">
        <v>44661</v>
      </c>
      <c r="D2193" t="s">
        <v>319</v>
      </c>
    </row>
    <row r="2194" spans="1:4" x14ac:dyDescent="0.25">
      <c r="A2194" t="s">
        <v>3955</v>
      </c>
      <c r="C2194">
        <v>25525</v>
      </c>
    </row>
    <row r="2195" spans="1:4" x14ac:dyDescent="0.25">
      <c r="A2195" t="s">
        <v>3956</v>
      </c>
      <c r="C2195">
        <v>25226</v>
      </c>
    </row>
    <row r="2196" spans="1:4" x14ac:dyDescent="0.25">
      <c r="A2196" t="s">
        <v>3957</v>
      </c>
      <c r="B2196" t="s">
        <v>3958</v>
      </c>
      <c r="C2196">
        <v>25526</v>
      </c>
    </row>
    <row r="2197" spans="1:4" x14ac:dyDescent="0.25">
      <c r="A2197" t="s">
        <v>3959</v>
      </c>
      <c r="B2197" t="s">
        <v>3958</v>
      </c>
      <c r="C2197">
        <v>25227</v>
      </c>
    </row>
    <row r="2198" spans="1:4" x14ac:dyDescent="0.25">
      <c r="A2198" t="s">
        <v>3960</v>
      </c>
      <c r="C2198">
        <v>25309</v>
      </c>
    </row>
    <row r="2199" spans="1:4" x14ac:dyDescent="0.25">
      <c r="A2199" t="s">
        <v>3961</v>
      </c>
      <c r="C2199">
        <v>25310</v>
      </c>
    </row>
    <row r="2200" spans="1:4" x14ac:dyDescent="0.25">
      <c r="A2200" t="s">
        <v>3962</v>
      </c>
      <c r="C2200">
        <v>25311</v>
      </c>
    </row>
    <row r="2201" spans="1:4" x14ac:dyDescent="0.25">
      <c r="A2201" t="s">
        <v>3963</v>
      </c>
      <c r="B2201" t="s">
        <v>3964</v>
      </c>
      <c r="C2201">
        <v>24202</v>
      </c>
    </row>
    <row r="2202" spans="1:4" x14ac:dyDescent="0.25">
      <c r="A2202" t="s">
        <v>3965</v>
      </c>
      <c r="B2202" t="s">
        <v>3966</v>
      </c>
      <c r="C2202">
        <v>24203</v>
      </c>
    </row>
    <row r="2203" spans="1:4" x14ac:dyDescent="0.25">
      <c r="A2203" t="s">
        <v>3967</v>
      </c>
      <c r="B2203" t="s">
        <v>3968</v>
      </c>
      <c r="C2203">
        <v>24204</v>
      </c>
      <c r="D2203" t="s">
        <v>252</v>
      </c>
    </row>
    <row r="2204" spans="1:4" x14ac:dyDescent="0.25">
      <c r="A2204" t="s">
        <v>3969</v>
      </c>
      <c r="B2204" t="s">
        <v>3970</v>
      </c>
      <c r="C2204">
        <v>24205</v>
      </c>
    </row>
    <row r="2205" spans="1:4" x14ac:dyDescent="0.25">
      <c r="A2205" t="s">
        <v>3971</v>
      </c>
      <c r="B2205" t="s">
        <v>3972</v>
      </c>
      <c r="C2205">
        <v>24206</v>
      </c>
    </row>
    <row r="2206" spans="1:4" x14ac:dyDescent="0.25">
      <c r="A2206" t="s">
        <v>3973</v>
      </c>
      <c r="B2206" t="s">
        <v>3974</v>
      </c>
      <c r="C2206">
        <v>24040</v>
      </c>
    </row>
    <row r="2207" spans="1:4" x14ac:dyDescent="0.25">
      <c r="A2207" t="s">
        <v>3975</v>
      </c>
      <c r="B2207" t="s">
        <v>3976</v>
      </c>
      <c r="C2207">
        <v>44618</v>
      </c>
      <c r="D2207" t="s">
        <v>281</v>
      </c>
    </row>
    <row r="2208" spans="1:4" x14ac:dyDescent="0.25">
      <c r="A2208" t="s">
        <v>3977</v>
      </c>
      <c r="B2208" t="s">
        <v>3978</v>
      </c>
      <c r="C2208">
        <v>34104</v>
      </c>
      <c r="D2208" t="s">
        <v>211</v>
      </c>
    </row>
    <row r="2209" spans="1:4" x14ac:dyDescent="0.25">
      <c r="A2209" t="s">
        <v>3979</v>
      </c>
      <c r="B2209" t="s">
        <v>3980</v>
      </c>
      <c r="C2209">
        <v>34105</v>
      </c>
      <c r="D2209" t="s">
        <v>211</v>
      </c>
    </row>
    <row r="2210" spans="1:4" x14ac:dyDescent="0.25">
      <c r="A2210" t="s">
        <v>3981</v>
      </c>
      <c r="B2210" t="s">
        <v>3982</v>
      </c>
      <c r="C2210">
        <v>34106</v>
      </c>
      <c r="D2210" t="s">
        <v>252</v>
      </c>
    </row>
    <row r="2211" spans="1:4" x14ac:dyDescent="0.25">
      <c r="A2211" t="s">
        <v>3983</v>
      </c>
      <c r="B2211" t="s">
        <v>3984</v>
      </c>
      <c r="C2211">
        <v>34107</v>
      </c>
      <c r="D2211" t="s">
        <v>319</v>
      </c>
    </row>
    <row r="2212" spans="1:4" x14ac:dyDescent="0.25">
      <c r="A2212" t="s">
        <v>3985</v>
      </c>
      <c r="B2212" t="s">
        <v>3986</v>
      </c>
      <c r="C2212">
        <v>34108</v>
      </c>
      <c r="D2212" t="s">
        <v>252</v>
      </c>
    </row>
    <row r="2213" spans="1:4" x14ac:dyDescent="0.25">
      <c r="A2213" t="s">
        <v>3987</v>
      </c>
      <c r="B2213" t="s">
        <v>3980</v>
      </c>
      <c r="C2213">
        <v>34109</v>
      </c>
      <c r="D2213" t="s">
        <v>211</v>
      </c>
    </row>
    <row r="2214" spans="1:4" x14ac:dyDescent="0.25">
      <c r="A2214" t="s">
        <v>3988</v>
      </c>
      <c r="B2214" t="s">
        <v>3989</v>
      </c>
      <c r="C2214">
        <v>34113</v>
      </c>
      <c r="D2214" t="s">
        <v>211</v>
      </c>
    </row>
    <row r="2215" spans="1:4" x14ac:dyDescent="0.25">
      <c r="A2215" t="s">
        <v>3990</v>
      </c>
      <c r="B2215" t="s">
        <v>3991</v>
      </c>
      <c r="C2215">
        <v>33996</v>
      </c>
      <c r="D2215" t="s">
        <v>319</v>
      </c>
    </row>
    <row r="2216" spans="1:4" x14ac:dyDescent="0.25">
      <c r="A2216" t="s">
        <v>3992</v>
      </c>
      <c r="B2216" t="s">
        <v>3993</v>
      </c>
      <c r="C2216">
        <v>24159</v>
      </c>
      <c r="D2216" t="s">
        <v>278</v>
      </c>
    </row>
    <row r="2217" spans="1:4" x14ac:dyDescent="0.25">
      <c r="A2217" t="s">
        <v>3994</v>
      </c>
      <c r="B2217" t="s">
        <v>3995</v>
      </c>
      <c r="C2217">
        <v>41351</v>
      </c>
      <c r="D2217" t="s">
        <v>267</v>
      </c>
    </row>
    <row r="2218" spans="1:4" x14ac:dyDescent="0.25">
      <c r="A2218" t="s">
        <v>3996</v>
      </c>
      <c r="B2218" t="s">
        <v>3997</v>
      </c>
      <c r="C2218">
        <v>42367</v>
      </c>
      <c r="D2218" t="s">
        <v>654</v>
      </c>
    </row>
    <row r="2219" spans="1:4" x14ac:dyDescent="0.25">
      <c r="A2219" t="s">
        <v>3998</v>
      </c>
      <c r="B2219" t="s">
        <v>3999</v>
      </c>
      <c r="C2219">
        <v>43362</v>
      </c>
      <c r="D2219" t="s">
        <v>211</v>
      </c>
    </row>
    <row r="2220" spans="1:4" x14ac:dyDescent="0.25">
      <c r="A2220" t="s">
        <v>4000</v>
      </c>
      <c r="B2220" t="s">
        <v>4001</v>
      </c>
      <c r="C2220">
        <v>42361</v>
      </c>
      <c r="D2220" t="s">
        <v>211</v>
      </c>
    </row>
    <row r="2221" spans="1:4" x14ac:dyDescent="0.25">
      <c r="A2221" t="s">
        <v>4002</v>
      </c>
      <c r="B2221" t="s">
        <v>4003</v>
      </c>
      <c r="C2221">
        <v>43363</v>
      </c>
      <c r="D2221" t="s">
        <v>211</v>
      </c>
    </row>
    <row r="2222" spans="1:4" x14ac:dyDescent="0.25">
      <c r="A2222" t="s">
        <v>4004</v>
      </c>
      <c r="B2222" t="s">
        <v>4005</v>
      </c>
      <c r="C2222">
        <v>43364</v>
      </c>
      <c r="D2222" t="s">
        <v>211</v>
      </c>
    </row>
    <row r="2223" spans="1:4" x14ac:dyDescent="0.25">
      <c r="A2223" t="s">
        <v>4006</v>
      </c>
      <c r="B2223" t="s">
        <v>4007</v>
      </c>
      <c r="C2223">
        <v>43365</v>
      </c>
      <c r="D2223" t="s">
        <v>211</v>
      </c>
    </row>
    <row r="2224" spans="1:4" x14ac:dyDescent="0.25">
      <c r="A2224" t="s">
        <v>4008</v>
      </c>
      <c r="B2224" t="s">
        <v>4009</v>
      </c>
      <c r="C2224">
        <v>24083</v>
      </c>
    </row>
    <row r="2225" spans="1:4" x14ac:dyDescent="0.25">
      <c r="A2225" t="s">
        <v>4010</v>
      </c>
      <c r="B2225" t="s">
        <v>4011</v>
      </c>
      <c r="C2225">
        <v>25765</v>
      </c>
    </row>
    <row r="2226" spans="1:4" x14ac:dyDescent="0.25">
      <c r="A2226" t="s">
        <v>4012</v>
      </c>
      <c r="B2226" t="s">
        <v>4011</v>
      </c>
      <c r="C2226">
        <v>48155</v>
      </c>
    </row>
    <row r="2227" spans="1:4" x14ac:dyDescent="0.25">
      <c r="A2227" t="s">
        <v>4013</v>
      </c>
      <c r="B2227" t="s">
        <v>4014</v>
      </c>
      <c r="C2227">
        <v>24857</v>
      </c>
    </row>
    <row r="2228" spans="1:4" x14ac:dyDescent="0.25">
      <c r="A2228" t="s">
        <v>4015</v>
      </c>
      <c r="B2228" t="s">
        <v>4016</v>
      </c>
      <c r="C2228">
        <v>24248</v>
      </c>
    </row>
    <row r="2229" spans="1:4" x14ac:dyDescent="0.25">
      <c r="A2229" t="s">
        <v>4017</v>
      </c>
      <c r="B2229" t="s">
        <v>4018</v>
      </c>
      <c r="C2229">
        <v>24249</v>
      </c>
      <c r="D2229" t="s">
        <v>281</v>
      </c>
    </row>
    <row r="2230" spans="1:4" x14ac:dyDescent="0.25">
      <c r="A2230" t="s">
        <v>4019</v>
      </c>
      <c r="B2230" t="s">
        <v>4020</v>
      </c>
      <c r="C2230">
        <v>24250</v>
      </c>
    </row>
  </sheetData>
  <sheetProtection algorithmName="SHA-512" hashValue="oW4Qs3tL4yzipQ/i1Ssow98KgZ6gDoFEV/lMPjLy+tI1WVOTojIrl4eNTcUyDx/VezElYARdONxCxBoCUpnHaQ==" saltValue="YS2BMtiD1CbFH5she+Kqt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D458F4FC717648B4464F49FC3EE8E2" ma:contentTypeVersion="18" ma:contentTypeDescription="Create a new document." ma:contentTypeScope="" ma:versionID="afe0a2f62ecaa3507ea6678e5ebf62f1">
  <xsd:schema xmlns:xsd="http://www.w3.org/2001/XMLSchema" xmlns:xs="http://www.w3.org/2001/XMLSchema" xmlns:p="http://schemas.microsoft.com/office/2006/metadata/properties" xmlns:ns2="75473930-6e1b-498a-a7d4-b35f7de1cb0d" xmlns:ns3="9a92d394-35d3-406a-b7d0-c890faaf0729" targetNamespace="http://schemas.microsoft.com/office/2006/metadata/properties" ma:root="true" ma:fieldsID="3fc599b7fa62969f01c4397be48fed09" ns2:_="" ns3:_="">
    <xsd:import namespace="75473930-6e1b-498a-a7d4-b35f7de1cb0d"/>
    <xsd:import namespace="9a92d394-35d3-406a-b7d0-c890faaf07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Projectname" minOccurs="0"/>
                <xsd:element ref="ns2:lcf76f155ced4ddcb4097134ff3c332f" minOccurs="0"/>
                <xsd:element ref="ns3:TaxCatchAll"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473930-6e1b-498a-a7d4-b35f7de1cb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Projectname" ma:index="20" nillable="true" ma:displayName="Project name" ma:format="Dropdown" ma:internalName="Projectname">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9f72e46-9d06-40b1-bbe4-5a25d4ddca36"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92d394-35d3-406a-b7d0-c890faaf072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823ea29-348f-4d26-a19e-f1a726c51003}" ma:internalName="TaxCatchAll" ma:showField="CatchAllData" ma:web="9a92d394-35d3-406a-b7d0-c890faaf07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name xmlns="75473930-6e1b-498a-a7d4-b35f7de1cb0d" xsi:nil="true"/>
    <SharedWithUsers xmlns="9a92d394-35d3-406a-b7d0-c890faaf0729">
      <UserInfo>
        <DisplayName/>
        <AccountId xsi:nil="true"/>
        <AccountType/>
      </UserInfo>
    </SharedWithUsers>
    <lcf76f155ced4ddcb4097134ff3c332f xmlns="75473930-6e1b-498a-a7d4-b35f7de1cb0d">
      <Terms xmlns="http://schemas.microsoft.com/office/infopath/2007/PartnerControls"/>
    </lcf76f155ced4ddcb4097134ff3c332f>
    <TaxCatchAll xmlns="9a92d394-35d3-406a-b7d0-c890faaf0729" xsi:nil="true"/>
  </documentManagement>
</p:properties>
</file>

<file path=customXml/itemProps1.xml><?xml version="1.0" encoding="utf-8"?>
<ds:datastoreItem xmlns:ds="http://schemas.openxmlformats.org/officeDocument/2006/customXml" ds:itemID="{A6E8AFCE-290A-4286-96CC-808277B22A4A}">
  <ds:schemaRefs>
    <ds:schemaRef ds:uri="http://schemas.microsoft.com/sharepoint/v3/contenttype/forms"/>
  </ds:schemaRefs>
</ds:datastoreItem>
</file>

<file path=customXml/itemProps2.xml><?xml version="1.0" encoding="utf-8"?>
<ds:datastoreItem xmlns:ds="http://schemas.openxmlformats.org/officeDocument/2006/customXml" ds:itemID="{2E7EDA86-D453-460E-AD06-51938FB316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473930-6e1b-498a-a7d4-b35f7de1cb0d"/>
    <ds:schemaRef ds:uri="9a92d394-35d3-406a-b7d0-c890faaf07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98D388-DB90-4FC0-B621-1558B1630D0C}">
  <ds:schemaRefs>
    <ds:schemaRef ds:uri="http://schemas.microsoft.com/office/2006/metadata/properties"/>
    <ds:schemaRef ds:uri="http://schemas.microsoft.com/office/infopath/2007/PartnerControls"/>
    <ds:schemaRef ds:uri="75473930-6e1b-498a-a7d4-b35f7de1cb0d"/>
    <ds:schemaRef ds:uri="9a92d394-35d3-406a-b7d0-c890faaf07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Metadata_Survey Effort</vt:lpstr>
      <vt:lpstr>Data Return</vt:lpstr>
      <vt:lpstr>Data Return - Relocation (ONLY)</vt:lpstr>
      <vt:lpstr>Look-up Values</vt:lpstr>
      <vt:lpstr>Species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Teagan Johnston</dc:creator>
  <cp:keywords/>
  <dc:description/>
  <cp:lastModifiedBy>Brooke Richards</cp:lastModifiedBy>
  <cp:revision/>
  <dcterms:created xsi:type="dcterms:W3CDTF">2021-01-28T03:00:54Z</dcterms:created>
  <dcterms:modified xsi:type="dcterms:W3CDTF">2023-07-19T05:42:08Z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0x010100EDD458F4FC717648B4464F49FC3EE8E2</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